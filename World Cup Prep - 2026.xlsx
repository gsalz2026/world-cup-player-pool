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alzman/Desktop/"/>
    </mc:Choice>
  </mc:AlternateContent>
  <xr:revisionPtr revIDLastSave="0" documentId="8_{C180D7E5-C703-AB44-865C-DA1B98475847}" xr6:coauthVersionLast="47" xr6:coauthVersionMax="47" xr10:uidLastSave="{00000000-0000-0000-0000-000000000000}"/>
  <bookViews>
    <workbookView xWindow="680" yWindow="660" windowWidth="29560" windowHeight="17400" activeTab="1" xr2:uid="{A2A1C9B7-731B-BE42-ABEC-8E326B0D097D}"/>
  </bookViews>
  <sheets>
    <sheet name="Countries" sheetId="1" r:id="rId1"/>
    <sheet name="Scorer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2" l="1"/>
  <c r="B12" i="2" s="1"/>
  <c r="B13" i="2" s="1"/>
  <c r="L11" i="2"/>
  <c r="J11" i="2"/>
  <c r="I11" i="2"/>
  <c r="J81" i="2"/>
  <c r="I81" i="2"/>
  <c r="J80" i="2"/>
  <c r="I80" i="2"/>
  <c r="K80" i="2" s="1"/>
  <c r="J79" i="2"/>
  <c r="I79" i="2"/>
  <c r="J78" i="2"/>
  <c r="I78" i="2"/>
  <c r="B6" i="2"/>
  <c r="B7" i="2" s="1"/>
  <c r="B8" i="2" s="1"/>
  <c r="B9" i="2" s="1"/>
  <c r="B10" i="2" s="1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K70" i="2" s="1"/>
  <c r="J69" i="2"/>
  <c r="I69" i="2"/>
  <c r="K69" i="2" s="1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K59" i="2" s="1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K34" i="2" s="1"/>
  <c r="J33" i="2"/>
  <c r="I33" i="2"/>
  <c r="J32" i="2"/>
  <c r="I32" i="2"/>
  <c r="J31" i="2"/>
  <c r="I31" i="2"/>
  <c r="J30" i="2"/>
  <c r="I30" i="2"/>
  <c r="J29" i="2"/>
  <c r="I29" i="2"/>
  <c r="K29" i="2" s="1"/>
  <c r="J28" i="2"/>
  <c r="I28" i="2"/>
  <c r="J27" i="2"/>
  <c r="I27" i="2"/>
  <c r="J26" i="2"/>
  <c r="I26" i="2"/>
  <c r="J25" i="2"/>
  <c r="I25" i="2"/>
  <c r="J24" i="2"/>
  <c r="I24" i="2"/>
  <c r="K24" i="2" s="1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0" i="2"/>
  <c r="I10" i="2"/>
  <c r="J9" i="2"/>
  <c r="I9" i="2"/>
  <c r="K9" i="2" s="1"/>
  <c r="J8" i="2"/>
  <c r="I8" i="2"/>
  <c r="K8" i="2" s="1"/>
  <c r="J7" i="2"/>
  <c r="I7" i="2"/>
  <c r="J6" i="2"/>
  <c r="I6" i="2"/>
  <c r="B14" i="2" l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K11" i="2"/>
  <c r="M11" i="2" s="1"/>
  <c r="K31" i="2"/>
  <c r="K81" i="2"/>
  <c r="K63" i="2"/>
  <c r="K76" i="2"/>
  <c r="K56" i="2"/>
  <c r="K66" i="2"/>
  <c r="K73" i="2"/>
  <c r="K6" i="2"/>
  <c r="K64" i="2"/>
  <c r="K78" i="2"/>
  <c r="K79" i="2"/>
  <c r="K25" i="2"/>
  <c r="K77" i="2"/>
  <c r="K75" i="2"/>
  <c r="K74" i="2"/>
  <c r="K72" i="2"/>
  <c r="K71" i="2"/>
  <c r="K68" i="2"/>
  <c r="K67" i="2"/>
  <c r="K65" i="2"/>
  <c r="K62" i="2"/>
  <c r="K61" i="2"/>
  <c r="K60" i="2"/>
  <c r="K58" i="2"/>
  <c r="K57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3" i="2"/>
  <c r="K32" i="2"/>
  <c r="K30" i="2"/>
  <c r="K28" i="2"/>
  <c r="K27" i="2"/>
  <c r="K26" i="2"/>
  <c r="K23" i="2"/>
  <c r="K22" i="2"/>
  <c r="K21" i="2"/>
  <c r="K20" i="2"/>
  <c r="K19" i="2"/>
  <c r="K18" i="2"/>
  <c r="K17" i="2"/>
  <c r="K16" i="2"/>
  <c r="K15" i="2"/>
  <c r="K14" i="2"/>
  <c r="K13" i="2"/>
  <c r="K12" i="2"/>
  <c r="K10" i="2"/>
  <c r="K7" i="2"/>
  <c r="J38" i="1"/>
  <c r="K38" i="1" s="1"/>
  <c r="J18" i="1"/>
  <c r="K18" i="1" s="1"/>
  <c r="J30" i="1"/>
  <c r="K30" i="1" s="1"/>
  <c r="J17" i="1"/>
  <c r="K17" i="1" s="1"/>
  <c r="J50" i="1"/>
  <c r="K50" i="1" s="1"/>
  <c r="J24" i="1"/>
  <c r="K24" i="1" s="1"/>
  <c r="J45" i="1"/>
  <c r="K45" i="1" s="1"/>
  <c r="J6" i="1"/>
  <c r="K6" i="1" s="1"/>
  <c r="J48" i="1"/>
  <c r="K48" i="1" s="1"/>
  <c r="J23" i="1"/>
  <c r="K23" i="1" s="1"/>
  <c r="J40" i="1"/>
  <c r="K40" i="1" s="1"/>
  <c r="G40" i="1" s="1"/>
  <c r="H40" i="1" s="1"/>
  <c r="M40" i="1" s="1"/>
  <c r="J7" i="1"/>
  <c r="K7" i="1" s="1"/>
  <c r="J41" i="1"/>
  <c r="K41" i="1" s="1"/>
  <c r="J22" i="1"/>
  <c r="K22" i="1" s="1"/>
  <c r="J32" i="1"/>
  <c r="K32" i="1" s="1"/>
  <c r="J14" i="1"/>
  <c r="K14" i="1" s="1"/>
  <c r="J53" i="1"/>
  <c r="K53" i="1" s="1"/>
  <c r="J25" i="1"/>
  <c r="K25" i="1" s="1"/>
  <c r="G25" i="1" s="1"/>
  <c r="H25" i="1" s="1"/>
  <c r="J39" i="1"/>
  <c r="K39" i="1" s="1"/>
  <c r="J8" i="1"/>
  <c r="K8" i="1" s="1"/>
  <c r="J47" i="1"/>
  <c r="K47" i="1" s="1"/>
  <c r="J20" i="1"/>
  <c r="K20" i="1" s="1"/>
  <c r="J43" i="1"/>
  <c r="K43" i="1" s="1"/>
  <c r="J12" i="1"/>
  <c r="K12" i="1" s="1"/>
  <c r="J46" i="1"/>
  <c r="K46" i="1" s="1"/>
  <c r="J19" i="1"/>
  <c r="K19" i="1" s="1"/>
  <c r="J33" i="1"/>
  <c r="K33" i="1" s="1"/>
  <c r="J15" i="1"/>
  <c r="K15" i="1" s="1"/>
  <c r="G15" i="1" s="1"/>
  <c r="J52" i="1"/>
  <c r="K52" i="1" s="1"/>
  <c r="J26" i="1"/>
  <c r="K26" i="1" s="1"/>
  <c r="J34" i="1"/>
  <c r="K34" i="1" s="1"/>
  <c r="J11" i="1"/>
  <c r="K11" i="1" s="1"/>
  <c r="J44" i="1"/>
  <c r="K44" i="1" s="1"/>
  <c r="J31" i="1"/>
  <c r="K31" i="1" s="1"/>
  <c r="J35" i="1"/>
  <c r="K35" i="1" s="1"/>
  <c r="J13" i="1"/>
  <c r="K13" i="1" s="1"/>
  <c r="J42" i="1"/>
  <c r="K42" i="1" s="1"/>
  <c r="J27" i="1"/>
  <c r="K27" i="1" s="1"/>
  <c r="G27" i="1" s="1"/>
  <c r="H27" i="1" s="1"/>
  <c r="J28" i="1"/>
  <c r="K28" i="1" s="1"/>
  <c r="J16" i="1"/>
  <c r="K16" i="1" s="1"/>
  <c r="J49" i="1"/>
  <c r="K49" i="1" s="1"/>
  <c r="J21" i="1"/>
  <c r="K21" i="1" s="1"/>
  <c r="J36" i="1"/>
  <c r="K36" i="1" s="1"/>
  <c r="J9" i="1"/>
  <c r="K9" i="1" s="1"/>
  <c r="J51" i="1"/>
  <c r="K51" i="1" s="1"/>
  <c r="J29" i="1"/>
  <c r="K29" i="1" s="1"/>
  <c r="J37" i="1"/>
  <c r="K37" i="1" s="1"/>
  <c r="J10" i="1"/>
  <c r="K10" i="1" s="1"/>
  <c r="E38" i="1"/>
  <c r="F38" i="1" s="1"/>
  <c r="E18" i="1"/>
  <c r="F18" i="1" s="1"/>
  <c r="G18" i="1" s="1"/>
  <c r="H18" i="1" s="1"/>
  <c r="E30" i="1"/>
  <c r="F30" i="1" s="1"/>
  <c r="G30" i="1" s="1"/>
  <c r="H30" i="1" s="1"/>
  <c r="E17" i="1"/>
  <c r="F17" i="1" s="1"/>
  <c r="E50" i="1"/>
  <c r="F50" i="1" s="1"/>
  <c r="E24" i="1"/>
  <c r="F24" i="1" s="1"/>
  <c r="E45" i="1"/>
  <c r="F45" i="1" s="1"/>
  <c r="E6" i="1"/>
  <c r="F6" i="1" s="1"/>
  <c r="E48" i="1"/>
  <c r="F48" i="1" s="1"/>
  <c r="E23" i="1"/>
  <c r="F23" i="1" s="1"/>
  <c r="E40" i="1"/>
  <c r="F40" i="1" s="1"/>
  <c r="E7" i="1"/>
  <c r="F7" i="1" s="1"/>
  <c r="G7" i="1" s="1"/>
  <c r="H7" i="1" s="1"/>
  <c r="E41" i="1"/>
  <c r="F41" i="1" s="1"/>
  <c r="E22" i="1"/>
  <c r="F22" i="1" s="1"/>
  <c r="E32" i="1"/>
  <c r="F32" i="1" s="1"/>
  <c r="E14" i="1"/>
  <c r="F14" i="1" s="1"/>
  <c r="E53" i="1"/>
  <c r="F53" i="1" s="1"/>
  <c r="E25" i="1"/>
  <c r="F25" i="1" s="1"/>
  <c r="E39" i="1"/>
  <c r="F39" i="1" s="1"/>
  <c r="E8" i="1"/>
  <c r="F8" i="1" s="1"/>
  <c r="G8" i="1" s="1"/>
  <c r="H8" i="1" s="1"/>
  <c r="E47" i="1"/>
  <c r="F47" i="1" s="1"/>
  <c r="E20" i="1"/>
  <c r="F20" i="1" s="1"/>
  <c r="E43" i="1"/>
  <c r="F43" i="1" s="1"/>
  <c r="G43" i="1" s="1"/>
  <c r="H43" i="1" s="1"/>
  <c r="E12" i="1"/>
  <c r="F12" i="1" s="1"/>
  <c r="E46" i="1"/>
  <c r="F46" i="1" s="1"/>
  <c r="E19" i="1"/>
  <c r="F19" i="1" s="1"/>
  <c r="E33" i="1"/>
  <c r="F33" i="1" s="1"/>
  <c r="E15" i="1"/>
  <c r="F15" i="1" s="1"/>
  <c r="E52" i="1"/>
  <c r="F52" i="1" s="1"/>
  <c r="E26" i="1"/>
  <c r="F26" i="1" s="1"/>
  <c r="G26" i="1" s="1"/>
  <c r="H26" i="1" s="1"/>
  <c r="E34" i="1"/>
  <c r="F34" i="1" s="1"/>
  <c r="E11" i="1"/>
  <c r="F11" i="1" s="1"/>
  <c r="E44" i="1"/>
  <c r="F44" i="1" s="1"/>
  <c r="G44" i="1" s="1"/>
  <c r="E31" i="1"/>
  <c r="F31" i="1" s="1"/>
  <c r="E35" i="1"/>
  <c r="F35" i="1" s="1"/>
  <c r="E13" i="1"/>
  <c r="F13" i="1" s="1"/>
  <c r="E42" i="1"/>
  <c r="F42" i="1" s="1"/>
  <c r="E27" i="1"/>
  <c r="F27" i="1" s="1"/>
  <c r="E28" i="1"/>
  <c r="F28" i="1" s="1"/>
  <c r="E16" i="1"/>
  <c r="F16" i="1" s="1"/>
  <c r="E49" i="1"/>
  <c r="F49" i="1" s="1"/>
  <c r="E21" i="1"/>
  <c r="F21" i="1" s="1"/>
  <c r="G21" i="1" s="1"/>
  <c r="E36" i="1"/>
  <c r="F36" i="1" s="1"/>
  <c r="E9" i="1"/>
  <c r="F9" i="1" s="1"/>
  <c r="E29" i="1"/>
  <c r="F29" i="1" s="1"/>
  <c r="E37" i="1"/>
  <c r="F37" i="1" s="1"/>
  <c r="E10" i="1"/>
  <c r="F10" i="1" s="1"/>
  <c r="E51" i="1"/>
  <c r="F51" i="1" s="1"/>
  <c r="G51" i="1" s="1"/>
  <c r="H51" i="1" s="1"/>
  <c r="G49" i="1" l="1"/>
  <c r="H49" i="1" s="1"/>
  <c r="M49" i="1" s="1"/>
  <c r="G38" i="1"/>
  <c r="G28" i="1"/>
  <c r="H28" i="1" s="1"/>
  <c r="G42" i="1"/>
  <c r="H42" i="1" s="1"/>
  <c r="G14" i="1"/>
  <c r="H14" i="1" s="1"/>
  <c r="G52" i="1"/>
  <c r="H52" i="1" s="1"/>
  <c r="G10" i="1"/>
  <c r="M10" i="1" s="1"/>
  <c r="M27" i="1"/>
  <c r="L12" i="2" s="1"/>
  <c r="M12" i="2" s="1"/>
  <c r="H10" i="1"/>
  <c r="M16" i="1"/>
  <c r="G16" i="1"/>
  <c r="H16" i="1" s="1"/>
  <c r="G6" i="1"/>
  <c r="H6" i="1" s="1"/>
  <c r="G39" i="1"/>
  <c r="H39" i="1" s="1"/>
  <c r="G48" i="1"/>
  <c r="G23" i="1"/>
  <c r="H23" i="1" s="1"/>
  <c r="G47" i="1"/>
  <c r="H47" i="1" s="1"/>
  <c r="G33" i="1"/>
  <c r="H33" i="1" s="1"/>
  <c r="G37" i="1"/>
  <c r="G53" i="1"/>
  <c r="H53" i="1" s="1"/>
  <c r="G35" i="1"/>
  <c r="H35" i="1" s="1"/>
  <c r="G46" i="1"/>
  <c r="H46" i="1" s="1"/>
  <c r="G32" i="1"/>
  <c r="H32" i="1" s="1"/>
  <c r="G36" i="1"/>
  <c r="H36" i="1" s="1"/>
  <c r="G11" i="1"/>
  <c r="H11" i="1" s="1"/>
  <c r="G45" i="1"/>
  <c r="H45" i="1" s="1"/>
  <c r="M52" i="1"/>
  <c r="M14" i="1"/>
  <c r="G31" i="1"/>
  <c r="H31" i="1" s="1"/>
  <c r="G12" i="1"/>
  <c r="H12" i="1" s="1"/>
  <c r="G22" i="1"/>
  <c r="H22" i="1" s="1"/>
  <c r="G20" i="1"/>
  <c r="M28" i="1"/>
  <c r="L64" i="2" s="1"/>
  <c r="M64" i="2" s="1"/>
  <c r="G13" i="1"/>
  <c r="H13" i="1" s="1"/>
  <c r="G24" i="1"/>
  <c r="H24" i="1" s="1"/>
  <c r="M36" i="1"/>
  <c r="H48" i="1"/>
  <c r="M48" i="1"/>
  <c r="H21" i="1"/>
  <c r="M21" i="1"/>
  <c r="H38" i="1"/>
  <c r="M38" i="1"/>
  <c r="M39" i="1"/>
  <c r="H15" i="1"/>
  <c r="M15" i="1"/>
  <c r="M25" i="1"/>
  <c r="M19" i="1"/>
  <c r="L13" i="2" s="1"/>
  <c r="M13" i="2" s="1"/>
  <c r="H44" i="1"/>
  <c r="M44" i="1" s="1"/>
  <c r="G50" i="1"/>
  <c r="H50" i="1" s="1"/>
  <c r="G19" i="1"/>
  <c r="H19" i="1" s="1"/>
  <c r="G9" i="1"/>
  <c r="H9" i="1" s="1"/>
  <c r="G17" i="1"/>
  <c r="H17" i="1" s="1"/>
  <c r="M35" i="1"/>
  <c r="M32" i="1"/>
  <c r="M30" i="1"/>
  <c r="G29" i="1"/>
  <c r="H29" i="1" s="1"/>
  <c r="M26" i="1"/>
  <c r="L48" i="2" s="1"/>
  <c r="M48" i="2" s="1"/>
  <c r="M22" i="1"/>
  <c r="M46" i="1"/>
  <c r="M18" i="1"/>
  <c r="G34" i="1"/>
  <c r="H34" i="1" s="1"/>
  <c r="G41" i="1"/>
  <c r="H41" i="1" s="1"/>
  <c r="M33" i="1"/>
  <c r="M51" i="1"/>
  <c r="M24" i="1"/>
  <c r="M8" i="1"/>
  <c r="M7" i="1"/>
  <c r="M43" i="1"/>
  <c r="L74" i="2" l="1"/>
  <c r="M74" i="2" s="1"/>
  <c r="L77" i="2"/>
  <c r="M77" i="2" s="1"/>
  <c r="L76" i="2"/>
  <c r="M76" i="2" s="1"/>
  <c r="L75" i="2"/>
  <c r="M75" i="2" s="1"/>
  <c r="L68" i="2"/>
  <c r="M68" i="2" s="1"/>
  <c r="L67" i="2"/>
  <c r="M67" i="2" s="1"/>
  <c r="L70" i="2"/>
  <c r="M70" i="2" s="1"/>
  <c r="L66" i="2"/>
  <c r="M66" i="2" s="1"/>
  <c r="L69" i="2"/>
  <c r="M69" i="2" s="1"/>
  <c r="L65" i="2"/>
  <c r="M65" i="2" s="1"/>
  <c r="L71" i="2"/>
  <c r="M71" i="2" s="1"/>
  <c r="L73" i="2"/>
  <c r="M73" i="2" s="1"/>
  <c r="L72" i="2"/>
  <c r="M72" i="2" s="1"/>
  <c r="L6" i="2"/>
  <c r="M6" i="2" s="1"/>
  <c r="L9" i="2"/>
  <c r="M9" i="2" s="1"/>
  <c r="L10" i="2"/>
  <c r="M10" i="2" s="1"/>
  <c r="L8" i="2"/>
  <c r="M8" i="2" s="1"/>
  <c r="L7" i="2"/>
  <c r="M7" i="2" s="1"/>
  <c r="L20" i="2"/>
  <c r="M20" i="2" s="1"/>
  <c r="L19" i="2"/>
  <c r="M19" i="2" s="1"/>
  <c r="L18" i="2"/>
  <c r="M18" i="2" s="1"/>
  <c r="L81" i="2"/>
  <c r="M81" i="2" s="1"/>
  <c r="L80" i="2"/>
  <c r="M80" i="2" s="1"/>
  <c r="L79" i="2"/>
  <c r="M79" i="2" s="1"/>
  <c r="L78" i="2"/>
  <c r="M78" i="2" s="1"/>
  <c r="L50" i="2"/>
  <c r="M50" i="2" s="1"/>
  <c r="L49" i="2"/>
  <c r="M49" i="2" s="1"/>
  <c r="L47" i="2"/>
  <c r="M47" i="2" s="1"/>
  <c r="L44" i="2"/>
  <c r="M44" i="2" s="1"/>
  <c r="L43" i="2"/>
  <c r="M43" i="2" s="1"/>
  <c r="L46" i="2"/>
  <c r="M46" i="2" s="1"/>
  <c r="L45" i="2"/>
  <c r="M45" i="2" s="1"/>
  <c r="M42" i="1"/>
  <c r="L30" i="2"/>
  <c r="M30" i="2" s="1"/>
  <c r="L31" i="2"/>
  <c r="M31" i="2" s="1"/>
  <c r="L32" i="2"/>
  <c r="M32" i="2" s="1"/>
  <c r="L21" i="2"/>
  <c r="M21" i="2" s="1"/>
  <c r="L27" i="2"/>
  <c r="M27" i="2" s="1"/>
  <c r="L24" i="2"/>
  <c r="M24" i="2" s="1"/>
  <c r="L23" i="2"/>
  <c r="M23" i="2" s="1"/>
  <c r="L26" i="2"/>
  <c r="M26" i="2" s="1"/>
  <c r="L29" i="2"/>
  <c r="M29" i="2" s="1"/>
  <c r="L22" i="2"/>
  <c r="M22" i="2" s="1"/>
  <c r="L25" i="2"/>
  <c r="M25" i="2" s="1"/>
  <c r="L28" i="2"/>
  <c r="M28" i="2" s="1"/>
  <c r="M13" i="1"/>
  <c r="M50" i="1"/>
  <c r="M11" i="1"/>
  <c r="M53" i="1"/>
  <c r="H20" i="1"/>
  <c r="M20" i="1" s="1"/>
  <c r="M6" i="1"/>
  <c r="H37" i="1"/>
  <c r="M37" i="1"/>
  <c r="M45" i="1"/>
  <c r="M31" i="1"/>
  <c r="M12" i="1"/>
  <c r="M47" i="1"/>
  <c r="M23" i="1"/>
  <c r="M34" i="1"/>
  <c r="M9" i="1"/>
  <c r="M29" i="1"/>
  <c r="M17" i="1"/>
  <c r="M41" i="1"/>
  <c r="L41" i="2" l="1"/>
  <c r="M41" i="2" s="1"/>
  <c r="L34" i="2"/>
  <c r="M34" i="2" s="1"/>
  <c r="L40" i="2"/>
  <c r="M40" i="2" s="1"/>
  <c r="L33" i="2"/>
  <c r="M33" i="2" s="1"/>
  <c r="L36" i="2"/>
  <c r="M36" i="2" s="1"/>
  <c r="L37" i="2"/>
  <c r="M37" i="2" s="1"/>
  <c r="L39" i="2"/>
  <c r="M39" i="2" s="1"/>
  <c r="L42" i="2"/>
  <c r="M42" i="2" s="1"/>
  <c r="L35" i="2"/>
  <c r="M35" i="2" s="1"/>
  <c r="L38" i="2"/>
  <c r="M38" i="2" s="1"/>
  <c r="L61" i="2"/>
  <c r="M61" i="2" s="1"/>
  <c r="L63" i="2"/>
  <c r="M63" i="2" s="1"/>
  <c r="L62" i="2"/>
  <c r="M62" i="2" s="1"/>
  <c r="L17" i="2"/>
  <c r="M17" i="2" s="1"/>
  <c r="L16" i="2"/>
  <c r="M16" i="2" s="1"/>
  <c r="L14" i="2"/>
  <c r="M14" i="2" s="1"/>
  <c r="L15" i="2"/>
  <c r="M15" i="2" s="1"/>
  <c r="L51" i="2"/>
  <c r="M51" i="2" s="1"/>
  <c r="L54" i="2"/>
  <c r="M54" i="2" s="1"/>
  <c r="L57" i="2"/>
  <c r="M57" i="2" s="1"/>
  <c r="L60" i="2"/>
  <c r="M60" i="2" s="1"/>
  <c r="L53" i="2"/>
  <c r="M53" i="2" s="1"/>
  <c r="L56" i="2"/>
  <c r="M56" i="2" s="1"/>
  <c r="L59" i="2"/>
  <c r="M59" i="2" s="1"/>
  <c r="L52" i="2"/>
  <c r="M52" i="2" s="1"/>
  <c r="L55" i="2"/>
  <c r="M55" i="2" s="1"/>
  <c r="L58" i="2"/>
  <c r="M58" i="2" s="1"/>
</calcChain>
</file>

<file path=xl/sharedStrings.xml><?xml version="1.0" encoding="utf-8"?>
<sst xmlns="http://schemas.openxmlformats.org/spreadsheetml/2006/main" count="240" uniqueCount="141">
  <si>
    <t>Argentina</t>
  </si>
  <si>
    <t>Algeria</t>
  </si>
  <si>
    <t>Austria</t>
  </si>
  <si>
    <t>Jordan</t>
  </si>
  <si>
    <t>France</t>
  </si>
  <si>
    <t>Senegal</t>
  </si>
  <si>
    <t>Norway</t>
  </si>
  <si>
    <t>Iraq</t>
  </si>
  <si>
    <t>Mexico</t>
  </si>
  <si>
    <t>South Korea</t>
  </si>
  <si>
    <t>Czech Republic</t>
  </si>
  <si>
    <t>South Africa</t>
  </si>
  <si>
    <t>Belgium</t>
  </si>
  <si>
    <t>Iran</t>
  </si>
  <si>
    <t>Egypt</t>
  </si>
  <si>
    <t>New Zealand</t>
  </si>
  <si>
    <t>Germany</t>
  </si>
  <si>
    <t>Ivory Coast</t>
  </si>
  <si>
    <t>Ecuador</t>
  </si>
  <si>
    <t>Curacao</t>
  </si>
  <si>
    <t>Switzerland</t>
  </si>
  <si>
    <t>Bosnia</t>
  </si>
  <si>
    <t>Canada</t>
  </si>
  <si>
    <t>Qatar</t>
  </si>
  <si>
    <t>Portugal</t>
  </si>
  <si>
    <t>DR Congo</t>
  </si>
  <si>
    <t>Colombia</t>
  </si>
  <si>
    <t>Uzbekistan</t>
  </si>
  <si>
    <t>Brazil</t>
  </si>
  <si>
    <t>Scotland</t>
  </si>
  <si>
    <t>Morocco</t>
  </si>
  <si>
    <t>Haiti</t>
  </si>
  <si>
    <t>Netherlands</t>
  </si>
  <si>
    <t>Sweden</t>
  </si>
  <si>
    <t>Japan</t>
  </si>
  <si>
    <t>Tunisia</t>
  </si>
  <si>
    <t>England</t>
  </si>
  <si>
    <t>Ghana</t>
  </si>
  <si>
    <t>Croatia</t>
  </si>
  <si>
    <t>Panama</t>
  </si>
  <si>
    <t>Spain</t>
  </si>
  <si>
    <t>Saudi Arabia</t>
  </si>
  <si>
    <t>Uruguay</t>
  </si>
  <si>
    <t>Cape Verde</t>
  </si>
  <si>
    <t>USA</t>
  </si>
  <si>
    <t>Paraguay</t>
  </si>
  <si>
    <t>Turkey</t>
  </si>
  <si>
    <t>Australia</t>
  </si>
  <si>
    <t>Group</t>
  </si>
  <si>
    <t>Rd of 16</t>
  </si>
  <si>
    <t>Qtrs</t>
  </si>
  <si>
    <t>Semis</t>
  </si>
  <si>
    <t>Finals</t>
  </si>
  <si>
    <t>Games</t>
  </si>
  <si>
    <t>Raul Jimenez</t>
  </si>
  <si>
    <t>Goals</t>
  </si>
  <si>
    <t>1 Goal</t>
  </si>
  <si>
    <t>2 Goals</t>
  </si>
  <si>
    <t>Total Goals</t>
  </si>
  <si>
    <t>Armando Gonzalez</t>
  </si>
  <si>
    <t>Guillermo Martinez</t>
  </si>
  <si>
    <t>Santiago Gimenez</t>
  </si>
  <si>
    <t>Julian Quinones</t>
  </si>
  <si>
    <t>Patrik Schick</t>
  </si>
  <si>
    <t>Jonathan David</t>
  </si>
  <si>
    <t>Christian Pulisic</t>
  </si>
  <si>
    <t>Folarin Balogun</t>
  </si>
  <si>
    <t>Ricardo Pepi</t>
  </si>
  <si>
    <t>Haji Wright</t>
  </si>
  <si>
    <t>Breel-Donald Embolo</t>
  </si>
  <si>
    <t>Cedric Itten</t>
  </si>
  <si>
    <t>Zeki Amdouni</t>
  </si>
  <si>
    <t>Neymar Junior</t>
  </si>
  <si>
    <t>Vinicius Junior</t>
  </si>
  <si>
    <t>Endrick</t>
  </si>
  <si>
    <t>Thiago</t>
  </si>
  <si>
    <t>Raphinha</t>
  </si>
  <si>
    <t>Matheus Cunha</t>
  </si>
  <si>
    <t>da Silva</t>
  </si>
  <si>
    <t>Martinelli</t>
  </si>
  <si>
    <t>Paqueta</t>
  </si>
  <si>
    <t>Lawrence Shankland</t>
  </si>
  <si>
    <t>Che Adams</t>
  </si>
  <si>
    <t>Lyndon Dykes</t>
  </si>
  <si>
    <t>Deniz Undav</t>
  </si>
  <si>
    <t>Kai Havertz</t>
  </si>
  <si>
    <t>Nick Woltemeade</t>
  </si>
  <si>
    <t>Florian Wirtz</t>
  </si>
  <si>
    <t>Max Beier</t>
  </si>
  <si>
    <t>Jamal Musiala</t>
  </si>
  <si>
    <t>Leroy Sane</t>
  </si>
  <si>
    <t>Lennart Karl</t>
  </si>
  <si>
    <t>Jamie Leweling</t>
  </si>
  <si>
    <t>Leon Goretzka</t>
  </si>
  <si>
    <t>Memphis Depay</t>
  </si>
  <si>
    <t>Brian Brobbey</t>
  </si>
  <si>
    <t>Cody Gakpo</t>
  </si>
  <si>
    <t>Wout Weghorst</t>
  </si>
  <si>
    <t>Donyell Malen</t>
  </si>
  <si>
    <t>Enner Valencia</t>
  </si>
  <si>
    <t>Viktor Gyokeres</t>
  </si>
  <si>
    <t>Alexander Isak</t>
  </si>
  <si>
    <t>Mikel Oyarzabal</t>
  </si>
  <si>
    <t>Borja Iglesias</t>
  </si>
  <si>
    <t>Ferran Torres</t>
  </si>
  <si>
    <t>Lamine Yamal</t>
  </si>
  <si>
    <t>Dani Olmo</t>
  </si>
  <si>
    <t>Nico Williams</t>
  </si>
  <si>
    <t>Mikel Merino</t>
  </si>
  <si>
    <t>Victor Munoz</t>
  </si>
  <si>
    <t>Alex Baena</t>
  </si>
  <si>
    <t>Jeremi Pino</t>
  </si>
  <si>
    <t>Romelu Lukaku</t>
  </si>
  <si>
    <t>Charles De Ketelaere</t>
  </si>
  <si>
    <t>Kevin De Bruyne</t>
  </si>
  <si>
    <t>Heung Min Son</t>
  </si>
  <si>
    <t>Darwin Nunez</t>
  </si>
  <si>
    <t>Federico Vinas</t>
  </si>
  <si>
    <t>Rodrigo Aguirre</t>
  </si>
  <si>
    <t>Giorgian De Arrascaeta</t>
  </si>
  <si>
    <t>Agustin Canobbio</t>
  </si>
  <si>
    <t>Brian Rodriguez</t>
  </si>
  <si>
    <t>Erling Haaland</t>
  </si>
  <si>
    <t>Alexander Sorloth</t>
  </si>
  <si>
    <t>Strand Larsen</t>
  </si>
  <si>
    <t>Lionel Messi</t>
  </si>
  <si>
    <t>Julian Alvarez</t>
  </si>
  <si>
    <t>Lautaro Martinez</t>
  </si>
  <si>
    <t>Jose Lopez</t>
  </si>
  <si>
    <t>Harry Kane</t>
  </si>
  <si>
    <t>Ivan Toney</t>
  </si>
  <si>
    <t>Ollie Watkins</t>
  </si>
  <si>
    <t>Marcus Rashford</t>
  </si>
  <si>
    <t>Anthony Gordon</t>
  </si>
  <si>
    <t>Bukayo Saka</t>
  </si>
  <si>
    <t>Morgan Rogers</t>
  </si>
  <si>
    <t>Eberechi Eze</t>
  </si>
  <si>
    <t>Jude Bellingham</t>
  </si>
  <si>
    <t>Ante Budimir</t>
  </si>
  <si>
    <t>Antoine Semenyo</t>
  </si>
  <si>
    <t xml:space="preserve">Vs.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</si>
</sst>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0" fontId="0" fillId="0" borderId="0" xfId="0" applyAlignment="1">
      <alignment horizontal="right"/>
    </xf>
    <xf numFmtId="43" fontId="2" fillId="0" borderId="0" xfId="1" applyFont="1" applyAlignment="1">
      <alignment horizontal="right"/>
    </xf>
    <xf numFmtId="164" fontId="2" fillId="0" borderId="0" xfId="1" applyNumberFormat="1" applyFont="1" applyAlignment="1">
      <alignment horizontal="right"/>
    </xf>
    <xf numFmtId="165" fontId="0" fillId="0" borderId="0" xfId="2" applyNumberFormat="1" applyFont="1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3" fontId="0" fillId="0" borderId="0" xfId="1" applyFont="1" applyAlignment="1">
      <alignment horizontal="center"/>
    </xf>
    <xf numFmtId="166" fontId="2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A4DA-7AD6-AE4B-9C78-A0AD3005C8DD}">
  <dimension ref="B4:M53"/>
  <sheetViews>
    <sheetView workbookViewId="0">
      <pane xSplit="2" ySplit="4" topLeftCell="C62" activePane="bottomRight" state="frozen"/>
      <selection pane="topRight" activeCell="C1" sqref="C1"/>
      <selection pane="bottomLeft" activeCell="A5" sqref="A5"/>
      <selection pane="bottomRight" activeCell="O24" sqref="O24"/>
    </sheetView>
  </sheetViews>
  <sheetFormatPr baseColWidth="10" defaultRowHeight="16" x14ac:dyDescent="0.2"/>
  <cols>
    <col min="2" max="2" width="16.6640625" customWidth="1"/>
    <col min="3" max="9" width="10.83203125" style="2"/>
    <col min="12" max="12" width="3.1640625" customWidth="1"/>
    <col min="13" max="13" width="10.83203125" style="2"/>
  </cols>
  <sheetData>
    <row r="4" spans="2:13" x14ac:dyDescent="0.2">
      <c r="C4" s="2" t="s">
        <v>48</v>
      </c>
      <c r="F4" s="2" t="s">
        <v>49</v>
      </c>
      <c r="G4" s="2" t="s">
        <v>50</v>
      </c>
      <c r="H4" s="2" t="s">
        <v>51</v>
      </c>
      <c r="K4" s="2" t="s">
        <v>52</v>
      </c>
      <c r="M4" s="2" t="s">
        <v>53</v>
      </c>
    </row>
    <row r="6" spans="2:13" x14ac:dyDescent="0.2">
      <c r="B6" t="s">
        <v>40</v>
      </c>
      <c r="C6" s="3">
        <v>3</v>
      </c>
      <c r="D6" s="4">
        <v>-400</v>
      </c>
      <c r="E6" s="5">
        <f t="shared" ref="E6:E53" si="0">IF(D6&gt;0,(100/(D6+100)),-D6/(100-D6))</f>
        <v>0.8</v>
      </c>
      <c r="F6" s="6">
        <f t="shared" ref="F6:F53" si="1">1*E6</f>
        <v>0.8</v>
      </c>
      <c r="G6" s="7">
        <f t="shared" ref="G6:G53" si="2">F6-(F6-K6)/3</f>
        <v>0.63750000000000007</v>
      </c>
      <c r="H6" s="7">
        <f t="shared" ref="H6:H53" si="3">G6-((F6-K6)/3)</f>
        <v>0.47500000000000009</v>
      </c>
      <c r="I6" s="4">
        <v>220</v>
      </c>
      <c r="J6" s="5">
        <f t="shared" ref="J6:J53" si="4">IF(I6&gt;0,(100/(I6+100)),-I6/(100-I6))</f>
        <v>0.3125</v>
      </c>
      <c r="K6" s="6">
        <f t="shared" ref="K6:K53" si="5">1*J6</f>
        <v>0.3125</v>
      </c>
      <c r="M6" s="7">
        <f t="shared" ref="M6:M53" si="6">C6+F6+G6+H6+K6</f>
        <v>5.2249999999999996</v>
      </c>
    </row>
    <row r="7" spans="2:13" x14ac:dyDescent="0.2">
      <c r="B7" t="s">
        <v>36</v>
      </c>
      <c r="C7" s="3">
        <v>3</v>
      </c>
      <c r="D7" s="4">
        <v>-280</v>
      </c>
      <c r="E7" s="5">
        <f t="shared" si="0"/>
        <v>0.73684210526315785</v>
      </c>
      <c r="F7" s="6">
        <f t="shared" si="1"/>
        <v>0.73684210526315785</v>
      </c>
      <c r="G7" s="7">
        <f t="shared" si="2"/>
        <v>0.57456140350877194</v>
      </c>
      <c r="H7" s="7">
        <f t="shared" si="3"/>
        <v>0.41228070175438603</v>
      </c>
      <c r="I7" s="4">
        <v>300</v>
      </c>
      <c r="J7" s="5">
        <f t="shared" si="4"/>
        <v>0.25</v>
      </c>
      <c r="K7" s="6">
        <f t="shared" si="5"/>
        <v>0.25</v>
      </c>
      <c r="M7" s="7">
        <f t="shared" si="6"/>
        <v>4.9736842105263159</v>
      </c>
    </row>
    <row r="8" spans="2:13" x14ac:dyDescent="0.2">
      <c r="B8" t="s">
        <v>28</v>
      </c>
      <c r="C8" s="3">
        <v>3</v>
      </c>
      <c r="D8" s="4">
        <v>-350</v>
      </c>
      <c r="E8" s="5">
        <f t="shared" si="0"/>
        <v>0.77777777777777779</v>
      </c>
      <c r="F8" s="6">
        <f t="shared" si="1"/>
        <v>0.77777777777777779</v>
      </c>
      <c r="G8" s="7">
        <f t="shared" si="2"/>
        <v>0.58518518518518525</v>
      </c>
      <c r="H8" s="7">
        <f t="shared" si="3"/>
        <v>0.39259259259259272</v>
      </c>
      <c r="I8" s="4">
        <v>400</v>
      </c>
      <c r="J8" s="5">
        <f t="shared" si="4"/>
        <v>0.2</v>
      </c>
      <c r="K8" s="6">
        <f t="shared" si="5"/>
        <v>0.2</v>
      </c>
      <c r="M8" s="7">
        <f t="shared" si="6"/>
        <v>4.9555555555555557</v>
      </c>
    </row>
    <row r="9" spans="2:13" x14ac:dyDescent="0.2">
      <c r="B9" t="s">
        <v>4</v>
      </c>
      <c r="C9" s="3">
        <v>3</v>
      </c>
      <c r="D9" s="4">
        <v>-215</v>
      </c>
      <c r="E9" s="5">
        <f t="shared" si="0"/>
        <v>0.68253968253968256</v>
      </c>
      <c r="F9" s="6">
        <f t="shared" si="1"/>
        <v>0.68253968253968256</v>
      </c>
      <c r="G9" s="7">
        <f t="shared" si="2"/>
        <v>0.53835978835978837</v>
      </c>
      <c r="H9" s="7">
        <f t="shared" si="3"/>
        <v>0.39417989417989419</v>
      </c>
      <c r="I9" s="4">
        <v>300</v>
      </c>
      <c r="J9" s="5">
        <f t="shared" si="4"/>
        <v>0.25</v>
      </c>
      <c r="K9" s="6">
        <f t="shared" si="5"/>
        <v>0.25</v>
      </c>
      <c r="M9" s="7">
        <f t="shared" si="6"/>
        <v>4.8650793650793656</v>
      </c>
    </row>
    <row r="10" spans="2:13" x14ac:dyDescent="0.2">
      <c r="B10" t="s">
        <v>0</v>
      </c>
      <c r="C10" s="3">
        <v>3</v>
      </c>
      <c r="D10" s="4">
        <v>-265</v>
      </c>
      <c r="E10" s="5">
        <f t="shared" si="0"/>
        <v>0.72602739726027399</v>
      </c>
      <c r="F10" s="6">
        <f t="shared" si="1"/>
        <v>0.72602739726027399</v>
      </c>
      <c r="G10" s="7">
        <f t="shared" si="2"/>
        <v>0.54751032833224611</v>
      </c>
      <c r="H10" s="7">
        <f t="shared" si="3"/>
        <v>0.36899325940421823</v>
      </c>
      <c r="I10" s="4">
        <v>425</v>
      </c>
      <c r="J10" s="5">
        <f t="shared" si="4"/>
        <v>0.19047619047619047</v>
      </c>
      <c r="K10" s="6">
        <f t="shared" si="5"/>
        <v>0.19047619047619047</v>
      </c>
      <c r="M10" s="7">
        <f t="shared" si="6"/>
        <v>4.833007175472928</v>
      </c>
    </row>
    <row r="11" spans="2:13" x14ac:dyDescent="0.2">
      <c r="B11" t="s">
        <v>16</v>
      </c>
      <c r="C11" s="3">
        <v>3</v>
      </c>
      <c r="D11" s="4">
        <v>-250</v>
      </c>
      <c r="E11" s="5">
        <f t="shared" si="0"/>
        <v>0.7142857142857143</v>
      </c>
      <c r="F11" s="6">
        <f t="shared" si="1"/>
        <v>0.7142857142857143</v>
      </c>
      <c r="G11" s="7">
        <f t="shared" si="2"/>
        <v>0.52747252747252749</v>
      </c>
      <c r="H11" s="7">
        <f t="shared" si="3"/>
        <v>0.34065934065934067</v>
      </c>
      <c r="I11" s="4">
        <v>550</v>
      </c>
      <c r="J11" s="5">
        <f t="shared" si="4"/>
        <v>0.15384615384615385</v>
      </c>
      <c r="K11" s="6">
        <f t="shared" si="5"/>
        <v>0.15384615384615385</v>
      </c>
      <c r="M11" s="7">
        <f t="shared" si="6"/>
        <v>4.7362637362637363</v>
      </c>
    </row>
    <row r="12" spans="2:13" x14ac:dyDescent="0.2">
      <c r="B12" t="s">
        <v>24</v>
      </c>
      <c r="C12" s="3">
        <v>3</v>
      </c>
      <c r="D12" s="4">
        <v>-215</v>
      </c>
      <c r="E12" s="5">
        <f t="shared" si="0"/>
        <v>0.68253968253968256</v>
      </c>
      <c r="F12" s="6">
        <f t="shared" si="1"/>
        <v>0.68253968253968256</v>
      </c>
      <c r="G12" s="7">
        <f t="shared" si="2"/>
        <v>0.51058201058201058</v>
      </c>
      <c r="H12" s="7">
        <f t="shared" si="3"/>
        <v>0.33862433862433861</v>
      </c>
      <c r="I12" s="4">
        <v>500</v>
      </c>
      <c r="J12" s="5">
        <f t="shared" si="4"/>
        <v>0.16666666666666666</v>
      </c>
      <c r="K12" s="6">
        <f t="shared" si="5"/>
        <v>0.16666666666666666</v>
      </c>
      <c r="M12" s="7">
        <f t="shared" si="6"/>
        <v>4.6984126984126986</v>
      </c>
    </row>
    <row r="13" spans="2:13" x14ac:dyDescent="0.2">
      <c r="B13" t="s">
        <v>12</v>
      </c>
      <c r="C13" s="3">
        <v>3</v>
      </c>
      <c r="D13" s="4">
        <v>-220</v>
      </c>
      <c r="E13" s="5">
        <f t="shared" si="0"/>
        <v>0.6875</v>
      </c>
      <c r="F13" s="6">
        <f t="shared" si="1"/>
        <v>0.6875</v>
      </c>
      <c r="G13" s="7">
        <f t="shared" si="2"/>
        <v>0.48397435897435892</v>
      </c>
      <c r="H13" s="7">
        <f t="shared" si="3"/>
        <v>0.28044871794871784</v>
      </c>
      <c r="I13" s="4">
        <v>1200</v>
      </c>
      <c r="J13" s="5">
        <f t="shared" si="4"/>
        <v>7.6923076923076927E-2</v>
      </c>
      <c r="K13" s="6">
        <f t="shared" si="5"/>
        <v>7.6923076923076927E-2</v>
      </c>
      <c r="M13" s="7">
        <f t="shared" si="6"/>
        <v>4.5288461538461533</v>
      </c>
    </row>
    <row r="14" spans="2:13" x14ac:dyDescent="0.2">
      <c r="B14" t="s">
        <v>32</v>
      </c>
      <c r="C14" s="3">
        <v>3</v>
      </c>
      <c r="D14" s="4">
        <v>-125</v>
      </c>
      <c r="E14" s="5">
        <f t="shared" si="0"/>
        <v>0.55555555555555558</v>
      </c>
      <c r="F14" s="6">
        <f t="shared" si="1"/>
        <v>0.55555555555555558</v>
      </c>
      <c r="G14" s="7">
        <f t="shared" si="2"/>
        <v>0.40370370370370368</v>
      </c>
      <c r="H14" s="7">
        <f t="shared" si="3"/>
        <v>0.25185185185185177</v>
      </c>
      <c r="I14" s="4">
        <v>900</v>
      </c>
      <c r="J14" s="5">
        <f t="shared" si="4"/>
        <v>0.1</v>
      </c>
      <c r="K14" s="6">
        <f t="shared" si="5"/>
        <v>0.1</v>
      </c>
      <c r="M14" s="7">
        <f t="shared" si="6"/>
        <v>4.31111111111111</v>
      </c>
    </row>
    <row r="15" spans="2:13" x14ac:dyDescent="0.2">
      <c r="B15" t="s">
        <v>20</v>
      </c>
      <c r="C15" s="3">
        <v>3</v>
      </c>
      <c r="D15" s="4">
        <v>-125</v>
      </c>
      <c r="E15" s="5">
        <f t="shared" si="0"/>
        <v>0.55555555555555558</v>
      </c>
      <c r="F15" s="6">
        <f t="shared" si="1"/>
        <v>0.55555555555555558</v>
      </c>
      <c r="G15" s="7">
        <f t="shared" si="2"/>
        <v>0.38791423001949321</v>
      </c>
      <c r="H15" s="7">
        <f t="shared" si="3"/>
        <v>0.22027290448343081</v>
      </c>
      <c r="I15" s="4">
        <v>1800</v>
      </c>
      <c r="J15" s="5">
        <f t="shared" si="4"/>
        <v>5.2631578947368418E-2</v>
      </c>
      <c r="K15" s="6">
        <f t="shared" si="5"/>
        <v>5.2631578947368418E-2</v>
      </c>
      <c r="M15" s="7">
        <f t="shared" si="6"/>
        <v>4.216374269005847</v>
      </c>
    </row>
    <row r="16" spans="2:13" x14ac:dyDescent="0.2">
      <c r="B16" t="s">
        <v>8</v>
      </c>
      <c r="C16" s="3">
        <v>3</v>
      </c>
      <c r="D16" s="4">
        <v>-110</v>
      </c>
      <c r="E16" s="5">
        <f t="shared" si="0"/>
        <v>0.52380952380952384</v>
      </c>
      <c r="F16" s="6">
        <f t="shared" si="1"/>
        <v>0.52380952380952384</v>
      </c>
      <c r="G16" s="7">
        <f t="shared" si="2"/>
        <v>0.36202686202686207</v>
      </c>
      <c r="H16" s="7">
        <f t="shared" si="3"/>
        <v>0.20024420024420028</v>
      </c>
      <c r="I16" s="4">
        <v>2500</v>
      </c>
      <c r="J16" s="5">
        <f t="shared" si="4"/>
        <v>3.8461538461538464E-2</v>
      </c>
      <c r="K16" s="6">
        <f t="shared" si="5"/>
        <v>3.8461538461538464E-2</v>
      </c>
      <c r="M16" s="7">
        <f t="shared" si="6"/>
        <v>4.1245421245421241</v>
      </c>
    </row>
    <row r="17" spans="2:13" x14ac:dyDescent="0.2">
      <c r="B17" t="s">
        <v>44</v>
      </c>
      <c r="C17" s="3">
        <v>3</v>
      </c>
      <c r="D17" s="4">
        <v>140</v>
      </c>
      <c r="E17" s="5">
        <f t="shared" si="0"/>
        <v>0.41666666666666669</v>
      </c>
      <c r="F17" s="6">
        <f t="shared" si="1"/>
        <v>0.41666666666666669</v>
      </c>
      <c r="G17" s="7">
        <f t="shared" si="2"/>
        <v>0.2953216374269006</v>
      </c>
      <c r="H17" s="7">
        <f t="shared" si="3"/>
        <v>0.17397660818713451</v>
      </c>
      <c r="I17" s="4">
        <v>1800</v>
      </c>
      <c r="J17" s="5">
        <f t="shared" si="4"/>
        <v>5.2631578947368418E-2</v>
      </c>
      <c r="K17" s="6">
        <f t="shared" si="5"/>
        <v>5.2631578947368418E-2</v>
      </c>
      <c r="M17" s="7">
        <f t="shared" si="6"/>
        <v>3.9385964912280702</v>
      </c>
    </row>
    <row r="18" spans="2:13" x14ac:dyDescent="0.2">
      <c r="B18" t="s">
        <v>46</v>
      </c>
      <c r="C18" s="3">
        <v>3</v>
      </c>
      <c r="D18" s="4">
        <v>175</v>
      </c>
      <c r="E18" s="5">
        <f t="shared" si="0"/>
        <v>0.36363636363636365</v>
      </c>
      <c r="F18" s="6">
        <f t="shared" si="1"/>
        <v>0.36363636363636365</v>
      </c>
      <c r="G18" s="7">
        <f t="shared" si="2"/>
        <v>0.25524475524475526</v>
      </c>
      <c r="H18" s="7">
        <f t="shared" si="3"/>
        <v>0.14685314685314688</v>
      </c>
      <c r="I18" s="4">
        <v>2500</v>
      </c>
      <c r="J18" s="5">
        <f t="shared" si="4"/>
        <v>3.8461538461538464E-2</v>
      </c>
      <c r="K18" s="6">
        <f t="shared" si="5"/>
        <v>3.8461538461538464E-2</v>
      </c>
      <c r="M18" s="7">
        <f t="shared" si="6"/>
        <v>3.8041958041958042</v>
      </c>
    </row>
    <row r="19" spans="2:13" x14ac:dyDescent="0.2">
      <c r="B19" t="s">
        <v>22</v>
      </c>
      <c r="C19" s="3">
        <v>3</v>
      </c>
      <c r="D19" s="4">
        <v>200</v>
      </c>
      <c r="E19" s="5">
        <f t="shared" si="0"/>
        <v>0.33333333333333331</v>
      </c>
      <c r="F19" s="6">
        <f t="shared" si="1"/>
        <v>0.33333333333333331</v>
      </c>
      <c r="G19" s="7">
        <f t="shared" si="2"/>
        <v>0.23035230352303521</v>
      </c>
      <c r="H19" s="7">
        <f t="shared" si="3"/>
        <v>0.1273712737127371</v>
      </c>
      <c r="I19" s="4">
        <v>4000</v>
      </c>
      <c r="J19" s="5">
        <f t="shared" si="4"/>
        <v>2.4390243902439025E-2</v>
      </c>
      <c r="K19" s="6">
        <f t="shared" si="5"/>
        <v>2.4390243902439025E-2</v>
      </c>
      <c r="M19" s="7">
        <f t="shared" si="6"/>
        <v>3.7154471544715446</v>
      </c>
    </row>
    <row r="20" spans="2:13" x14ac:dyDescent="0.2">
      <c r="B20" t="s">
        <v>26</v>
      </c>
      <c r="C20" s="3">
        <v>3</v>
      </c>
      <c r="D20" s="4">
        <v>240</v>
      </c>
      <c r="E20" s="5">
        <f t="shared" si="0"/>
        <v>0.29411764705882354</v>
      </c>
      <c r="F20" s="6">
        <f t="shared" si="1"/>
        <v>0.29411764705882354</v>
      </c>
      <c r="G20" s="7">
        <f t="shared" si="2"/>
        <v>0.21362229102167185</v>
      </c>
      <c r="H20" s="7">
        <f t="shared" si="3"/>
        <v>0.13312693498452016</v>
      </c>
      <c r="I20" s="4">
        <v>1800</v>
      </c>
      <c r="J20" s="5">
        <f t="shared" si="4"/>
        <v>5.2631578947368418E-2</v>
      </c>
      <c r="K20" s="6">
        <f t="shared" si="5"/>
        <v>5.2631578947368418E-2</v>
      </c>
      <c r="M20" s="7">
        <f t="shared" si="6"/>
        <v>3.6934984520123839</v>
      </c>
    </row>
    <row r="21" spans="2:13" x14ac:dyDescent="0.2">
      <c r="B21" t="s">
        <v>6</v>
      </c>
      <c r="C21" s="3">
        <v>3</v>
      </c>
      <c r="D21" s="4">
        <v>275</v>
      </c>
      <c r="E21" s="5">
        <f t="shared" si="0"/>
        <v>0.26666666666666666</v>
      </c>
      <c r="F21" s="6">
        <f t="shared" si="1"/>
        <v>0.26666666666666666</v>
      </c>
      <c r="G21" s="7">
        <f t="shared" si="2"/>
        <v>0.20341880341880342</v>
      </c>
      <c r="H21" s="7">
        <f t="shared" si="3"/>
        <v>0.14017094017094017</v>
      </c>
      <c r="I21" s="4">
        <v>1200</v>
      </c>
      <c r="J21" s="5">
        <f t="shared" si="4"/>
        <v>7.6923076923076927E-2</v>
      </c>
      <c r="K21" s="6">
        <f t="shared" si="5"/>
        <v>7.6923076923076927E-2</v>
      </c>
      <c r="M21" s="7">
        <f t="shared" si="6"/>
        <v>3.6871794871794874</v>
      </c>
    </row>
    <row r="22" spans="2:13" x14ac:dyDescent="0.2">
      <c r="B22" t="s">
        <v>34</v>
      </c>
      <c r="C22" s="3">
        <v>3</v>
      </c>
      <c r="D22" s="4">
        <v>275</v>
      </c>
      <c r="E22" s="5">
        <f t="shared" si="0"/>
        <v>0.26666666666666666</v>
      </c>
      <c r="F22" s="6">
        <f t="shared" si="1"/>
        <v>0.26666666666666666</v>
      </c>
      <c r="G22" s="7">
        <f t="shared" si="2"/>
        <v>0.19059829059829059</v>
      </c>
      <c r="H22" s="7">
        <f t="shared" si="3"/>
        <v>0.11452991452991453</v>
      </c>
      <c r="I22" s="4">
        <v>2500</v>
      </c>
      <c r="J22" s="5">
        <f t="shared" si="4"/>
        <v>3.8461538461538464E-2</v>
      </c>
      <c r="K22" s="6">
        <f t="shared" si="5"/>
        <v>3.8461538461538464E-2</v>
      </c>
      <c r="M22" s="7">
        <f t="shared" si="6"/>
        <v>3.6102564102564103</v>
      </c>
    </row>
    <row r="23" spans="2:13" x14ac:dyDescent="0.2">
      <c r="B23" t="s">
        <v>38</v>
      </c>
      <c r="C23" s="3">
        <v>3</v>
      </c>
      <c r="D23" s="4">
        <v>340</v>
      </c>
      <c r="E23" s="5">
        <f t="shared" si="0"/>
        <v>0.22727272727272727</v>
      </c>
      <c r="F23" s="6">
        <f t="shared" si="1"/>
        <v>0.22727272727272727</v>
      </c>
      <c r="G23" s="7">
        <f t="shared" si="2"/>
        <v>0.16300940438871472</v>
      </c>
      <c r="H23" s="7">
        <f t="shared" si="3"/>
        <v>9.8746081504702182E-2</v>
      </c>
      <c r="I23" s="4">
        <v>2800</v>
      </c>
      <c r="J23" s="5">
        <f t="shared" si="4"/>
        <v>3.4482758620689655E-2</v>
      </c>
      <c r="K23" s="6">
        <f t="shared" si="5"/>
        <v>3.4482758620689655E-2</v>
      </c>
      <c r="M23" s="7">
        <f t="shared" si="6"/>
        <v>3.5235109717868336</v>
      </c>
    </row>
    <row r="24" spans="2:13" x14ac:dyDescent="0.2">
      <c r="B24" t="s">
        <v>42</v>
      </c>
      <c r="C24" s="3">
        <v>3</v>
      </c>
      <c r="D24" s="4">
        <v>400</v>
      </c>
      <c r="E24" s="5">
        <f t="shared" si="0"/>
        <v>0.2</v>
      </c>
      <c r="F24" s="6">
        <f t="shared" si="1"/>
        <v>0.2</v>
      </c>
      <c r="G24" s="7">
        <f t="shared" si="2"/>
        <v>0.1492063492063492</v>
      </c>
      <c r="H24" s="7">
        <f t="shared" si="3"/>
        <v>9.8412698412698396E-2</v>
      </c>
      <c r="I24" s="4">
        <v>2000</v>
      </c>
      <c r="J24" s="5">
        <f t="shared" si="4"/>
        <v>4.7619047619047616E-2</v>
      </c>
      <c r="K24" s="6">
        <f t="shared" si="5"/>
        <v>4.7619047619047616E-2</v>
      </c>
      <c r="M24" s="7">
        <f t="shared" si="6"/>
        <v>3.4952380952380953</v>
      </c>
    </row>
    <row r="25" spans="2:13" x14ac:dyDescent="0.2">
      <c r="B25" t="s">
        <v>30</v>
      </c>
      <c r="C25" s="3">
        <v>3</v>
      </c>
      <c r="D25" s="4">
        <v>400</v>
      </c>
      <c r="E25" s="5">
        <f t="shared" si="0"/>
        <v>0.2</v>
      </c>
      <c r="F25" s="6">
        <f t="shared" si="1"/>
        <v>0.2</v>
      </c>
      <c r="G25" s="7">
        <f t="shared" si="2"/>
        <v>0.14782608695652175</v>
      </c>
      <c r="H25" s="7">
        <f t="shared" si="3"/>
        <v>9.5652173913043481E-2</v>
      </c>
      <c r="I25" s="4">
        <v>2200</v>
      </c>
      <c r="J25" s="5">
        <f t="shared" si="4"/>
        <v>4.3478260869565216E-2</v>
      </c>
      <c r="K25" s="6">
        <f t="shared" si="5"/>
        <v>4.3478260869565216E-2</v>
      </c>
      <c r="M25" s="7">
        <f t="shared" si="6"/>
        <v>3.4869565217391307</v>
      </c>
    </row>
    <row r="26" spans="2:13" x14ac:dyDescent="0.2">
      <c r="B26" t="s">
        <v>18</v>
      </c>
      <c r="C26" s="3">
        <v>3</v>
      </c>
      <c r="D26" s="4">
        <v>370</v>
      </c>
      <c r="E26" s="5">
        <f t="shared" si="0"/>
        <v>0.21276595744680851</v>
      </c>
      <c r="F26" s="6">
        <f t="shared" si="1"/>
        <v>0.21276595744680851</v>
      </c>
      <c r="G26" s="7">
        <f t="shared" si="2"/>
        <v>0.15110323089046493</v>
      </c>
      <c r="H26" s="7">
        <f t="shared" si="3"/>
        <v>8.9440504334121346E-2</v>
      </c>
      <c r="I26" s="4">
        <v>3500</v>
      </c>
      <c r="J26" s="5">
        <f t="shared" si="4"/>
        <v>2.7777777777777776E-2</v>
      </c>
      <c r="K26" s="6">
        <f t="shared" si="5"/>
        <v>2.7777777777777776E-2</v>
      </c>
      <c r="M26" s="7">
        <f t="shared" si="6"/>
        <v>3.4810874704491725</v>
      </c>
    </row>
    <row r="27" spans="2:13" x14ac:dyDescent="0.2">
      <c r="B27" t="s">
        <v>10</v>
      </c>
      <c r="C27" s="3">
        <v>3</v>
      </c>
      <c r="D27" s="4">
        <v>330</v>
      </c>
      <c r="E27" s="5">
        <f t="shared" si="0"/>
        <v>0.23255813953488372</v>
      </c>
      <c r="F27" s="6">
        <f t="shared" si="1"/>
        <v>0.23255813953488372</v>
      </c>
      <c r="G27" s="7">
        <f t="shared" si="2"/>
        <v>0.15669713448262562</v>
      </c>
      <c r="H27" s="7">
        <f t="shared" si="3"/>
        <v>8.083612943036754E-2</v>
      </c>
      <c r="I27" s="4">
        <v>20000</v>
      </c>
      <c r="J27" s="5">
        <f t="shared" si="4"/>
        <v>4.9751243781094526E-3</v>
      </c>
      <c r="K27" s="6">
        <f t="shared" si="5"/>
        <v>4.9751243781094526E-3</v>
      </c>
      <c r="M27" s="7">
        <f t="shared" si="6"/>
        <v>3.4750665278259865</v>
      </c>
    </row>
    <row r="28" spans="2:13" x14ac:dyDescent="0.2">
      <c r="B28" t="s">
        <v>9</v>
      </c>
      <c r="C28" s="3">
        <v>3</v>
      </c>
      <c r="D28" s="4">
        <v>350</v>
      </c>
      <c r="E28" s="5">
        <f t="shared" si="0"/>
        <v>0.22222222222222221</v>
      </c>
      <c r="F28" s="6">
        <f t="shared" si="1"/>
        <v>0.22222222222222221</v>
      </c>
      <c r="G28" s="7">
        <f t="shared" si="2"/>
        <v>0.15319865319865317</v>
      </c>
      <c r="H28" s="7">
        <f t="shared" si="3"/>
        <v>8.4175084175084139E-2</v>
      </c>
      <c r="I28" s="4">
        <v>6500</v>
      </c>
      <c r="J28" s="5">
        <f t="shared" si="4"/>
        <v>1.5151515151515152E-2</v>
      </c>
      <c r="K28" s="6">
        <f t="shared" si="5"/>
        <v>1.5151515151515152E-2</v>
      </c>
      <c r="M28" s="7">
        <f t="shared" si="6"/>
        <v>3.4747474747474749</v>
      </c>
    </row>
    <row r="29" spans="2:13" x14ac:dyDescent="0.2">
      <c r="B29" t="s">
        <v>2</v>
      </c>
      <c r="C29" s="3">
        <v>3</v>
      </c>
      <c r="D29" s="4">
        <v>370</v>
      </c>
      <c r="E29" s="5">
        <f t="shared" si="0"/>
        <v>0.21276595744680851</v>
      </c>
      <c r="F29" s="6">
        <f t="shared" si="1"/>
        <v>0.21276595744680851</v>
      </c>
      <c r="G29" s="7">
        <f t="shared" si="2"/>
        <v>0.14997405293201868</v>
      </c>
      <c r="H29" s="7">
        <f t="shared" si="3"/>
        <v>8.718214841722885E-2</v>
      </c>
      <c r="I29" s="4">
        <v>4000</v>
      </c>
      <c r="J29" s="5">
        <f t="shared" si="4"/>
        <v>2.4390243902439025E-2</v>
      </c>
      <c r="K29" s="6">
        <f t="shared" si="5"/>
        <v>2.4390243902439025E-2</v>
      </c>
      <c r="M29" s="7">
        <f t="shared" si="6"/>
        <v>3.4743124026984953</v>
      </c>
    </row>
    <row r="30" spans="2:13" x14ac:dyDescent="0.2">
      <c r="B30" t="s">
        <v>45</v>
      </c>
      <c r="C30" s="3">
        <v>3</v>
      </c>
      <c r="D30" s="4">
        <v>400</v>
      </c>
      <c r="E30" s="5">
        <f t="shared" si="0"/>
        <v>0.2</v>
      </c>
      <c r="F30" s="6">
        <f t="shared" si="1"/>
        <v>0.2</v>
      </c>
      <c r="G30" s="7">
        <f t="shared" si="2"/>
        <v>0.13838383838383839</v>
      </c>
      <c r="H30" s="7">
        <f t="shared" si="3"/>
        <v>7.6767676767676762E-2</v>
      </c>
      <c r="I30" s="4">
        <v>6500</v>
      </c>
      <c r="J30" s="5">
        <f t="shared" si="4"/>
        <v>1.5151515151515152E-2</v>
      </c>
      <c r="K30" s="6">
        <f t="shared" si="5"/>
        <v>1.5151515151515152E-2</v>
      </c>
      <c r="M30" s="7">
        <f t="shared" si="6"/>
        <v>3.4303030303030306</v>
      </c>
    </row>
    <row r="31" spans="2:13" x14ac:dyDescent="0.2">
      <c r="B31" t="s">
        <v>14</v>
      </c>
      <c r="C31" s="3">
        <v>3</v>
      </c>
      <c r="D31" s="4">
        <v>400</v>
      </c>
      <c r="E31" s="5">
        <f t="shared" si="0"/>
        <v>0.2</v>
      </c>
      <c r="F31" s="6">
        <f t="shared" si="1"/>
        <v>0.2</v>
      </c>
      <c r="G31" s="7">
        <f t="shared" si="2"/>
        <v>0.1374485596707819</v>
      </c>
      <c r="H31" s="7">
        <f t="shared" si="3"/>
        <v>7.4897119341563789E-2</v>
      </c>
      <c r="I31" s="4">
        <v>8000</v>
      </c>
      <c r="J31" s="5">
        <f t="shared" si="4"/>
        <v>1.2345679012345678E-2</v>
      </c>
      <c r="K31" s="6">
        <f t="shared" si="5"/>
        <v>1.2345679012345678E-2</v>
      </c>
      <c r="M31" s="7">
        <f t="shared" si="6"/>
        <v>3.4246913580246914</v>
      </c>
    </row>
    <row r="32" spans="2:13" x14ac:dyDescent="0.2">
      <c r="B32" t="s">
        <v>33</v>
      </c>
      <c r="C32" s="3">
        <v>3</v>
      </c>
      <c r="D32" s="4">
        <v>450</v>
      </c>
      <c r="E32" s="5">
        <f t="shared" si="0"/>
        <v>0.18181818181818182</v>
      </c>
      <c r="F32" s="6">
        <f t="shared" si="1"/>
        <v>0.18181818181818182</v>
      </c>
      <c r="G32" s="7">
        <f t="shared" si="2"/>
        <v>0.12774806892453952</v>
      </c>
      <c r="H32" s="7">
        <f t="shared" si="3"/>
        <v>7.3677956030897218E-2</v>
      </c>
      <c r="I32" s="4">
        <v>5000</v>
      </c>
      <c r="J32" s="5">
        <f t="shared" si="4"/>
        <v>1.9607843137254902E-2</v>
      </c>
      <c r="K32" s="6">
        <f t="shared" si="5"/>
        <v>1.9607843137254902E-2</v>
      </c>
      <c r="M32" s="7">
        <f t="shared" si="6"/>
        <v>3.402852049910873</v>
      </c>
    </row>
    <row r="33" spans="2:13" x14ac:dyDescent="0.2">
      <c r="B33" t="s">
        <v>21</v>
      </c>
      <c r="C33" s="3">
        <v>3</v>
      </c>
      <c r="D33" s="4">
        <v>500</v>
      </c>
      <c r="E33" s="5">
        <f t="shared" si="0"/>
        <v>0.16666666666666666</v>
      </c>
      <c r="F33" s="6">
        <f t="shared" si="1"/>
        <v>0.16666666666666666</v>
      </c>
      <c r="G33" s="7">
        <f t="shared" si="2"/>
        <v>0.11522633744855967</v>
      </c>
      <c r="H33" s="7">
        <f t="shared" si="3"/>
        <v>6.378600823045269E-2</v>
      </c>
      <c r="I33" s="4">
        <v>8000</v>
      </c>
      <c r="J33" s="5">
        <f t="shared" si="4"/>
        <v>1.2345679012345678E-2</v>
      </c>
      <c r="K33" s="6">
        <f t="shared" si="5"/>
        <v>1.2345679012345678E-2</v>
      </c>
      <c r="M33" s="7">
        <f t="shared" si="6"/>
        <v>3.3580246913580245</v>
      </c>
    </row>
    <row r="34" spans="2:13" x14ac:dyDescent="0.2">
      <c r="B34" t="s">
        <v>17</v>
      </c>
      <c r="C34" s="3">
        <v>3</v>
      </c>
      <c r="D34" s="4">
        <v>600</v>
      </c>
      <c r="E34" s="5">
        <f t="shared" si="0"/>
        <v>0.14285714285714285</v>
      </c>
      <c r="F34" s="6">
        <f t="shared" si="1"/>
        <v>0.14285714285714285</v>
      </c>
      <c r="G34" s="7">
        <f t="shared" si="2"/>
        <v>9.9353321575543802E-2</v>
      </c>
      <c r="H34" s="7">
        <f t="shared" si="3"/>
        <v>5.5849500293944747E-2</v>
      </c>
      <c r="I34" s="4">
        <v>8000</v>
      </c>
      <c r="J34" s="5">
        <f t="shared" si="4"/>
        <v>1.2345679012345678E-2</v>
      </c>
      <c r="K34" s="6">
        <f t="shared" si="5"/>
        <v>1.2345679012345678E-2</v>
      </c>
      <c r="M34" s="7">
        <f t="shared" si="6"/>
        <v>3.3104056437389771</v>
      </c>
    </row>
    <row r="35" spans="2:13" x14ac:dyDescent="0.2">
      <c r="B35" t="s">
        <v>13</v>
      </c>
      <c r="C35" s="3">
        <v>3</v>
      </c>
      <c r="D35" s="4">
        <v>650</v>
      </c>
      <c r="E35" s="5">
        <f t="shared" si="0"/>
        <v>0.13333333333333333</v>
      </c>
      <c r="F35" s="6">
        <f t="shared" si="1"/>
        <v>0.13333333333333333</v>
      </c>
      <c r="G35" s="7">
        <f t="shared" si="2"/>
        <v>9.2189218921892191E-2</v>
      </c>
      <c r="H35" s="7">
        <f t="shared" si="3"/>
        <v>5.1045104510451043E-2</v>
      </c>
      <c r="I35" s="4">
        <v>10000</v>
      </c>
      <c r="J35" s="5">
        <f t="shared" si="4"/>
        <v>9.9009900990099011E-3</v>
      </c>
      <c r="K35" s="6">
        <f t="shared" si="5"/>
        <v>9.9009900990099011E-3</v>
      </c>
      <c r="M35" s="7">
        <f t="shared" si="6"/>
        <v>3.2864686468646864</v>
      </c>
    </row>
    <row r="36" spans="2:13" x14ac:dyDescent="0.2">
      <c r="B36" t="s">
        <v>5</v>
      </c>
      <c r="C36" s="3">
        <v>3</v>
      </c>
      <c r="D36" s="4">
        <v>800</v>
      </c>
      <c r="E36" s="5">
        <f t="shared" si="0"/>
        <v>0.1111111111111111</v>
      </c>
      <c r="F36" s="6">
        <f t="shared" si="1"/>
        <v>0.1111111111111111</v>
      </c>
      <c r="G36" s="7">
        <f t="shared" si="2"/>
        <v>8.2204155374887081E-2</v>
      </c>
      <c r="H36" s="7">
        <f t="shared" si="3"/>
        <v>5.3297199638663056E-2</v>
      </c>
      <c r="I36" s="4">
        <v>4000</v>
      </c>
      <c r="J36" s="5">
        <f t="shared" si="4"/>
        <v>2.4390243902439025E-2</v>
      </c>
      <c r="K36" s="6">
        <f t="shared" si="5"/>
        <v>2.4390243902439025E-2</v>
      </c>
      <c r="M36" s="7">
        <f t="shared" si="6"/>
        <v>3.2710027100271004</v>
      </c>
    </row>
    <row r="37" spans="2:13" x14ac:dyDescent="0.2">
      <c r="B37" t="s">
        <v>1</v>
      </c>
      <c r="C37" s="3">
        <v>3</v>
      </c>
      <c r="D37" s="4">
        <v>800</v>
      </c>
      <c r="E37" s="5">
        <f t="shared" si="0"/>
        <v>0.1111111111111111</v>
      </c>
      <c r="F37" s="6">
        <f t="shared" si="1"/>
        <v>0.1111111111111111</v>
      </c>
      <c r="G37" s="7">
        <f t="shared" si="2"/>
        <v>7.9124579124579125E-2</v>
      </c>
      <c r="H37" s="7">
        <f t="shared" si="3"/>
        <v>4.7138047138047139E-2</v>
      </c>
      <c r="I37" s="4">
        <v>6500</v>
      </c>
      <c r="J37" s="5">
        <f t="shared" si="4"/>
        <v>1.5151515151515152E-2</v>
      </c>
      <c r="K37" s="6">
        <f t="shared" si="5"/>
        <v>1.5151515151515152E-2</v>
      </c>
      <c r="M37" s="7">
        <f t="shared" si="6"/>
        <v>3.2525252525252526</v>
      </c>
    </row>
    <row r="38" spans="2:13" x14ac:dyDescent="0.2">
      <c r="B38" t="s">
        <v>47</v>
      </c>
      <c r="C38" s="3">
        <v>3</v>
      </c>
      <c r="D38" s="4">
        <v>800</v>
      </c>
      <c r="E38" s="5">
        <f t="shared" si="0"/>
        <v>0.1111111111111111</v>
      </c>
      <c r="F38" s="6">
        <f t="shared" si="1"/>
        <v>0.1111111111111111</v>
      </c>
      <c r="G38" s="7">
        <f t="shared" si="2"/>
        <v>7.7374404107077369E-2</v>
      </c>
      <c r="H38" s="7">
        <f t="shared" si="3"/>
        <v>4.3637697103043632E-2</v>
      </c>
      <c r="I38" s="4">
        <v>10000</v>
      </c>
      <c r="J38" s="5">
        <f t="shared" si="4"/>
        <v>9.9009900990099011E-3</v>
      </c>
      <c r="K38" s="6">
        <f t="shared" si="5"/>
        <v>9.9009900990099011E-3</v>
      </c>
      <c r="M38" s="7">
        <f t="shared" si="6"/>
        <v>3.2420242024202421</v>
      </c>
    </row>
    <row r="39" spans="2:13" x14ac:dyDescent="0.2">
      <c r="B39" t="s">
        <v>29</v>
      </c>
      <c r="C39" s="3">
        <v>3</v>
      </c>
      <c r="D39" s="4">
        <v>1000</v>
      </c>
      <c r="E39" s="5">
        <f t="shared" si="0"/>
        <v>9.0909090909090912E-2</v>
      </c>
      <c r="F39" s="6">
        <f t="shared" si="1"/>
        <v>9.0909090909090912E-2</v>
      </c>
      <c r="G39" s="7">
        <f t="shared" si="2"/>
        <v>6.4721286943509163E-2</v>
      </c>
      <c r="H39" s="7">
        <f t="shared" si="3"/>
        <v>3.8533482977927414E-2</v>
      </c>
      <c r="I39" s="4">
        <v>8000</v>
      </c>
      <c r="J39" s="5">
        <f t="shared" si="4"/>
        <v>1.2345679012345678E-2</v>
      </c>
      <c r="K39" s="6">
        <f t="shared" si="5"/>
        <v>1.2345679012345678E-2</v>
      </c>
      <c r="M39" s="7">
        <f t="shared" si="6"/>
        <v>3.2065095398428731</v>
      </c>
    </row>
    <row r="40" spans="2:13" x14ac:dyDescent="0.2">
      <c r="B40" t="s">
        <v>37</v>
      </c>
      <c r="C40" s="3">
        <v>3</v>
      </c>
      <c r="D40" s="4">
        <v>1100</v>
      </c>
      <c r="E40" s="5">
        <f t="shared" si="0"/>
        <v>8.3333333333333329E-2</v>
      </c>
      <c r="F40" s="6">
        <f t="shared" si="1"/>
        <v>8.3333333333333329E-2</v>
      </c>
      <c r="G40" s="7">
        <f t="shared" si="2"/>
        <v>5.9670781893004107E-2</v>
      </c>
      <c r="H40" s="7">
        <f t="shared" si="3"/>
        <v>3.6008230452674886E-2</v>
      </c>
      <c r="I40" s="4">
        <v>8000</v>
      </c>
      <c r="J40" s="5">
        <f t="shared" si="4"/>
        <v>1.2345679012345678E-2</v>
      </c>
      <c r="K40" s="6">
        <f t="shared" si="5"/>
        <v>1.2345679012345678E-2</v>
      </c>
      <c r="M40" s="7">
        <f t="shared" si="6"/>
        <v>3.1913580246913584</v>
      </c>
    </row>
    <row r="41" spans="2:13" x14ac:dyDescent="0.2">
      <c r="B41" t="s">
        <v>35</v>
      </c>
      <c r="C41" s="3">
        <v>3</v>
      </c>
      <c r="D41" s="4">
        <v>1200</v>
      </c>
      <c r="E41" s="5">
        <f t="shared" si="0"/>
        <v>7.6923076923076927E-2</v>
      </c>
      <c r="F41" s="6">
        <f t="shared" si="1"/>
        <v>7.6923076923076927E-2</v>
      </c>
      <c r="G41" s="7">
        <f t="shared" si="2"/>
        <v>5.2940426074754438E-2</v>
      </c>
      <c r="H41" s="7">
        <f t="shared" si="3"/>
        <v>2.8957775226431948E-2</v>
      </c>
      <c r="I41" s="4">
        <v>20000</v>
      </c>
      <c r="J41" s="5">
        <f t="shared" si="4"/>
        <v>4.9751243781094526E-3</v>
      </c>
      <c r="K41" s="6">
        <f t="shared" si="5"/>
        <v>4.9751243781094526E-3</v>
      </c>
      <c r="M41" s="7">
        <f t="shared" si="6"/>
        <v>3.1637964026023733</v>
      </c>
    </row>
    <row r="42" spans="2:13" x14ac:dyDescent="0.2">
      <c r="B42" t="s">
        <v>11</v>
      </c>
      <c r="C42" s="3">
        <v>3</v>
      </c>
      <c r="D42" s="4">
        <v>1200</v>
      </c>
      <c r="E42" s="5">
        <f t="shared" si="0"/>
        <v>7.6923076923076927E-2</v>
      </c>
      <c r="F42" s="6">
        <f t="shared" si="1"/>
        <v>7.6923076923076927E-2</v>
      </c>
      <c r="G42" s="7">
        <f t="shared" si="2"/>
        <v>5.2610072530391253E-2</v>
      </c>
      <c r="H42" s="7">
        <f t="shared" si="3"/>
        <v>2.8297068137705581E-2</v>
      </c>
      <c r="I42" s="4">
        <v>25000</v>
      </c>
      <c r="J42" s="5">
        <f t="shared" si="4"/>
        <v>3.9840637450199202E-3</v>
      </c>
      <c r="K42" s="6">
        <f t="shared" si="5"/>
        <v>3.9840637450199202E-3</v>
      </c>
      <c r="M42" s="7">
        <f t="shared" si="6"/>
        <v>3.1618142813361936</v>
      </c>
    </row>
    <row r="43" spans="2:13" x14ac:dyDescent="0.2">
      <c r="B43" t="s">
        <v>25</v>
      </c>
      <c r="C43" s="3">
        <v>3</v>
      </c>
      <c r="D43" s="4">
        <v>1400</v>
      </c>
      <c r="E43" s="5">
        <f t="shared" si="0"/>
        <v>6.6666666666666666E-2</v>
      </c>
      <c r="F43" s="6">
        <f t="shared" si="1"/>
        <v>6.6666666666666666E-2</v>
      </c>
      <c r="G43" s="7">
        <f t="shared" si="2"/>
        <v>4.665194996320824E-2</v>
      </c>
      <c r="H43" s="7">
        <f t="shared" si="3"/>
        <v>2.6637233259749815E-2</v>
      </c>
      <c r="I43" s="4">
        <v>15000</v>
      </c>
      <c r="J43" s="5">
        <f t="shared" si="4"/>
        <v>6.6225165562913907E-3</v>
      </c>
      <c r="K43" s="6">
        <f t="shared" si="5"/>
        <v>6.6225165562913907E-3</v>
      </c>
      <c r="M43" s="7">
        <f t="shared" si="6"/>
        <v>3.1465783664459162</v>
      </c>
    </row>
    <row r="44" spans="2:13" x14ac:dyDescent="0.2">
      <c r="B44" t="s">
        <v>15</v>
      </c>
      <c r="C44" s="3">
        <v>3</v>
      </c>
      <c r="D44" s="4">
        <v>2200</v>
      </c>
      <c r="E44" s="5">
        <f t="shared" si="0"/>
        <v>4.3478260869565216E-2</v>
      </c>
      <c r="F44" s="6">
        <f t="shared" si="1"/>
        <v>4.3478260869565216E-2</v>
      </c>
      <c r="G44" s="7">
        <f t="shared" si="2"/>
        <v>3.0092926958447688E-2</v>
      </c>
      <c r="H44" s="7">
        <f t="shared" si="3"/>
        <v>1.670759304733016E-2</v>
      </c>
      <c r="I44" s="4">
        <v>30000</v>
      </c>
      <c r="J44" s="5">
        <f t="shared" si="4"/>
        <v>3.3222591362126247E-3</v>
      </c>
      <c r="K44" s="6">
        <f t="shared" si="5"/>
        <v>3.3222591362126247E-3</v>
      </c>
      <c r="M44" s="7">
        <f t="shared" si="6"/>
        <v>3.0936010400115559</v>
      </c>
    </row>
    <row r="45" spans="2:13" x14ac:dyDescent="0.2">
      <c r="B45" t="s">
        <v>41</v>
      </c>
      <c r="C45" s="3">
        <v>3</v>
      </c>
      <c r="D45" s="4">
        <v>2800</v>
      </c>
      <c r="E45" s="5">
        <f t="shared" si="0"/>
        <v>3.4482758620689655E-2</v>
      </c>
      <c r="F45" s="6">
        <f t="shared" si="1"/>
        <v>3.4482758620689655E-2</v>
      </c>
      <c r="G45" s="7">
        <f t="shared" si="2"/>
        <v>2.4316526995466409E-2</v>
      </c>
      <c r="H45" s="7">
        <f t="shared" si="3"/>
        <v>1.4150295370243164E-2</v>
      </c>
      <c r="I45" s="4">
        <v>25000</v>
      </c>
      <c r="J45" s="5">
        <f t="shared" si="4"/>
        <v>3.9840637450199202E-3</v>
      </c>
      <c r="K45" s="6">
        <f t="shared" si="5"/>
        <v>3.9840637450199202E-3</v>
      </c>
      <c r="M45" s="7">
        <f t="shared" si="6"/>
        <v>3.0769336447314193</v>
      </c>
    </row>
    <row r="46" spans="2:13" x14ac:dyDescent="0.2">
      <c r="B46" t="s">
        <v>23</v>
      </c>
      <c r="C46" s="3">
        <v>3</v>
      </c>
      <c r="D46" s="4">
        <v>3000</v>
      </c>
      <c r="E46" s="5">
        <f t="shared" si="0"/>
        <v>3.2258064516129031E-2</v>
      </c>
      <c r="F46" s="6">
        <f t="shared" si="1"/>
        <v>3.2258064516129031E-2</v>
      </c>
      <c r="G46" s="7">
        <f t="shared" si="2"/>
        <v>2.2833397592425995E-2</v>
      </c>
      <c r="H46" s="7">
        <f t="shared" si="3"/>
        <v>1.3408730668722958E-2</v>
      </c>
      <c r="I46" s="4">
        <v>25000</v>
      </c>
      <c r="J46" s="5">
        <f t="shared" si="4"/>
        <v>3.9840637450199202E-3</v>
      </c>
      <c r="K46" s="6">
        <f t="shared" si="5"/>
        <v>3.9840637450199202E-3</v>
      </c>
      <c r="M46" s="7">
        <f t="shared" si="6"/>
        <v>3.0724842565222978</v>
      </c>
    </row>
    <row r="47" spans="2:13" x14ac:dyDescent="0.2">
      <c r="B47" t="s">
        <v>27</v>
      </c>
      <c r="C47" s="3">
        <v>3</v>
      </c>
      <c r="D47" s="4">
        <v>3500</v>
      </c>
      <c r="E47" s="5">
        <f t="shared" si="0"/>
        <v>2.7777777777777776E-2</v>
      </c>
      <c r="F47" s="6">
        <f t="shared" si="1"/>
        <v>2.7777777777777776E-2</v>
      </c>
      <c r="G47" s="7">
        <f t="shared" si="2"/>
        <v>1.962593823058939E-2</v>
      </c>
      <c r="H47" s="7">
        <f t="shared" si="3"/>
        <v>1.1474098683401006E-2</v>
      </c>
      <c r="I47" s="4">
        <v>30000</v>
      </c>
      <c r="J47" s="5">
        <f t="shared" si="4"/>
        <v>3.3222591362126247E-3</v>
      </c>
      <c r="K47" s="6">
        <f t="shared" si="5"/>
        <v>3.3222591362126247E-3</v>
      </c>
      <c r="M47" s="7">
        <f t="shared" si="6"/>
        <v>3.0622000738279809</v>
      </c>
    </row>
    <row r="48" spans="2:13" x14ac:dyDescent="0.2">
      <c r="B48" t="s">
        <v>39</v>
      </c>
      <c r="C48" s="3">
        <v>3</v>
      </c>
      <c r="D48" s="4">
        <v>4000</v>
      </c>
      <c r="E48" s="5">
        <f t="shared" si="0"/>
        <v>2.4390243902439025E-2</v>
      </c>
      <c r="F48" s="6">
        <f t="shared" si="1"/>
        <v>2.4390243902439025E-2</v>
      </c>
      <c r="G48" s="7">
        <f t="shared" si="2"/>
        <v>1.758818384996599E-2</v>
      </c>
      <c r="H48" s="7">
        <f t="shared" si="3"/>
        <v>1.0786123797492955E-2</v>
      </c>
      <c r="I48" s="4">
        <v>25000</v>
      </c>
      <c r="J48" s="5">
        <f t="shared" si="4"/>
        <v>3.9840637450199202E-3</v>
      </c>
      <c r="K48" s="6">
        <f t="shared" si="5"/>
        <v>3.9840637450199202E-3</v>
      </c>
      <c r="M48" s="7">
        <f t="shared" si="6"/>
        <v>3.0567486152949179</v>
      </c>
    </row>
    <row r="49" spans="2:13" x14ac:dyDescent="0.2">
      <c r="B49" t="s">
        <v>7</v>
      </c>
      <c r="C49" s="3">
        <v>3</v>
      </c>
      <c r="D49" s="4">
        <v>5000</v>
      </c>
      <c r="E49" s="5">
        <f t="shared" si="0"/>
        <v>1.9607843137254902E-2</v>
      </c>
      <c r="F49" s="6">
        <f t="shared" si="1"/>
        <v>1.9607843137254902E-2</v>
      </c>
      <c r="G49" s="7">
        <f t="shared" si="2"/>
        <v>1.3903150620181572E-2</v>
      </c>
      <c r="H49" s="7">
        <f t="shared" si="3"/>
        <v>8.1984581031082429E-3</v>
      </c>
      <c r="I49" s="4">
        <v>40000</v>
      </c>
      <c r="J49" s="5">
        <f t="shared" si="4"/>
        <v>2.4937655860349127E-3</v>
      </c>
      <c r="K49" s="6">
        <f t="shared" si="5"/>
        <v>2.4937655860349127E-3</v>
      </c>
      <c r="M49" s="7">
        <f t="shared" si="6"/>
        <v>3.0442032174465794</v>
      </c>
    </row>
    <row r="50" spans="2:13" x14ac:dyDescent="0.2">
      <c r="B50" t="s">
        <v>43</v>
      </c>
      <c r="C50" s="3">
        <v>3</v>
      </c>
      <c r="D50" s="4">
        <v>5000</v>
      </c>
      <c r="E50" s="5">
        <f t="shared" si="0"/>
        <v>1.9607843137254902E-2</v>
      </c>
      <c r="F50" s="6">
        <f t="shared" si="1"/>
        <v>1.9607843137254902E-2</v>
      </c>
      <c r="G50" s="7">
        <f t="shared" si="2"/>
        <v>1.3737231419513912E-2</v>
      </c>
      <c r="H50" s="7">
        <f t="shared" si="3"/>
        <v>7.8666197017729228E-3</v>
      </c>
      <c r="I50" s="4">
        <v>50000</v>
      </c>
      <c r="J50" s="5">
        <f t="shared" si="4"/>
        <v>1.996007984031936E-3</v>
      </c>
      <c r="K50" s="6">
        <f t="shared" si="5"/>
        <v>1.996007984031936E-3</v>
      </c>
      <c r="M50" s="7">
        <f t="shared" si="6"/>
        <v>3.0432077022425736</v>
      </c>
    </row>
    <row r="51" spans="2:13" x14ac:dyDescent="0.2">
      <c r="B51" t="s">
        <v>3</v>
      </c>
      <c r="C51" s="3">
        <v>3</v>
      </c>
      <c r="D51" s="4">
        <v>5000</v>
      </c>
      <c r="E51" s="5">
        <f t="shared" si="0"/>
        <v>1.9607843137254902E-2</v>
      </c>
      <c r="F51" s="6">
        <f t="shared" si="1"/>
        <v>1.9607843137254902E-2</v>
      </c>
      <c r="G51" s="7">
        <f t="shared" si="2"/>
        <v>1.3737231419513912E-2</v>
      </c>
      <c r="H51" s="7">
        <f t="shared" si="3"/>
        <v>7.8666197017729228E-3</v>
      </c>
      <c r="I51" s="4">
        <v>50000</v>
      </c>
      <c r="J51" s="5">
        <f t="shared" si="4"/>
        <v>1.996007984031936E-3</v>
      </c>
      <c r="K51" s="6">
        <f t="shared" si="5"/>
        <v>1.996007984031936E-3</v>
      </c>
      <c r="M51" s="7">
        <f t="shared" si="6"/>
        <v>3.0432077022425736</v>
      </c>
    </row>
    <row r="52" spans="2:13" x14ac:dyDescent="0.2">
      <c r="B52" t="s">
        <v>19</v>
      </c>
      <c r="C52" s="3">
        <v>3</v>
      </c>
      <c r="D52" s="4">
        <v>12000</v>
      </c>
      <c r="E52" s="5">
        <f t="shared" si="0"/>
        <v>8.2644628099173556E-3</v>
      </c>
      <c r="F52" s="6">
        <f t="shared" si="1"/>
        <v>8.2644628099173556E-3</v>
      </c>
      <c r="G52" s="7">
        <f t="shared" si="2"/>
        <v>6.1749778679555493E-3</v>
      </c>
      <c r="H52" s="7">
        <f t="shared" si="3"/>
        <v>4.0854929259937431E-3</v>
      </c>
      <c r="I52" s="4">
        <v>50000</v>
      </c>
      <c r="J52" s="5">
        <f t="shared" si="4"/>
        <v>1.996007984031936E-3</v>
      </c>
      <c r="K52" s="6">
        <f t="shared" si="5"/>
        <v>1.996007984031936E-3</v>
      </c>
      <c r="M52" s="7">
        <f t="shared" si="6"/>
        <v>3.0205209415878986</v>
      </c>
    </row>
    <row r="53" spans="2:13" x14ac:dyDescent="0.2">
      <c r="B53" t="s">
        <v>31</v>
      </c>
      <c r="C53" s="3">
        <v>3</v>
      </c>
      <c r="D53" s="4">
        <v>12000</v>
      </c>
      <c r="E53" s="5">
        <f t="shared" si="0"/>
        <v>8.2644628099173556E-3</v>
      </c>
      <c r="F53" s="6">
        <f t="shared" si="1"/>
        <v>8.2644628099173556E-3</v>
      </c>
      <c r="G53" s="7">
        <f t="shared" si="2"/>
        <v>6.1749778679555493E-3</v>
      </c>
      <c r="H53" s="7">
        <f t="shared" si="3"/>
        <v>4.0854929259937431E-3</v>
      </c>
      <c r="I53" s="4">
        <v>50000</v>
      </c>
      <c r="J53" s="5">
        <f t="shared" si="4"/>
        <v>1.996007984031936E-3</v>
      </c>
      <c r="K53" s="6">
        <f t="shared" si="5"/>
        <v>1.996007984031936E-3</v>
      </c>
      <c r="M53" s="7">
        <f t="shared" si="6"/>
        <v>3.0205209415878986</v>
      </c>
    </row>
  </sheetData>
  <sortState xmlns:xlrd2="http://schemas.microsoft.com/office/spreadsheetml/2017/richdata2" ref="B6:N53">
    <sortCondition descending="1" ref="M6:M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C172-334C-1E45-8145-6BD2D946FA25}">
  <dimension ref="B4:M96"/>
  <sheetViews>
    <sheetView tabSelected="1" workbookViewId="0">
      <selection activeCell="R11" sqref="R11"/>
    </sheetView>
  </sheetViews>
  <sheetFormatPr baseColWidth="10" defaultRowHeight="16" x14ac:dyDescent="0.2"/>
  <cols>
    <col min="3" max="3" width="19.6640625" customWidth="1"/>
    <col min="4" max="4" width="13.83203125" bestFit="1" customWidth="1"/>
    <col min="5" max="5" width="14.6640625" customWidth="1"/>
    <col min="7" max="11" width="10.83203125" style="2"/>
  </cols>
  <sheetData>
    <row r="4" spans="2:13" x14ac:dyDescent="0.2">
      <c r="E4" t="s">
        <v>140</v>
      </c>
      <c r="G4" s="2" t="s">
        <v>56</v>
      </c>
      <c r="H4" s="2" t="s">
        <v>57</v>
      </c>
      <c r="I4" s="2" t="s">
        <v>56</v>
      </c>
      <c r="J4" s="2" t="s">
        <v>57</v>
      </c>
      <c r="K4" s="2" t="s">
        <v>58</v>
      </c>
      <c r="L4" s="2" t="s">
        <v>53</v>
      </c>
      <c r="M4" s="2" t="s">
        <v>55</v>
      </c>
    </row>
    <row r="6" spans="2:13" x14ac:dyDescent="0.2">
      <c r="B6">
        <f>B5+1</f>
        <v>1</v>
      </c>
      <c r="C6" t="s">
        <v>54</v>
      </c>
      <c r="D6" t="s">
        <v>8</v>
      </c>
      <c r="E6" t="s">
        <v>11</v>
      </c>
      <c r="F6" s="10">
        <v>1.5</v>
      </c>
      <c r="G6" s="8">
        <v>145</v>
      </c>
      <c r="H6" s="8">
        <v>850</v>
      </c>
      <c r="I6" s="6">
        <f t="shared" ref="I6:I38" si="0">IF(G6&gt;0,100/(G6+100),-G6/(100-G6))</f>
        <v>0.40816326530612246</v>
      </c>
      <c r="J6" s="6">
        <f t="shared" ref="J6:J38" si="1">IF(H6&gt;0,100/(H6+100),-H6/(100-H6))</f>
        <v>0.10526315789473684</v>
      </c>
      <c r="K6" s="7">
        <f t="shared" ref="K6:K38" si="2">I6+J6</f>
        <v>0.51342642320085929</v>
      </c>
      <c r="L6" s="1">
        <f>VLOOKUP($D6,Countries!$B$6:$M$72,12,FALSE)</f>
        <v>4.1245421245421241</v>
      </c>
      <c r="M6" s="9">
        <f t="shared" ref="M6:M38" si="3">L6*K6</f>
        <v>2.1176489103449359</v>
      </c>
    </row>
    <row r="7" spans="2:13" x14ac:dyDescent="0.2">
      <c r="B7">
        <f t="shared" ref="B7:B71" si="4">B6+1</f>
        <v>2</v>
      </c>
      <c r="C7" t="s">
        <v>59</v>
      </c>
      <c r="D7" t="s">
        <v>8</v>
      </c>
      <c r="E7" t="s">
        <v>11</v>
      </c>
      <c r="F7" s="10">
        <v>1.5</v>
      </c>
      <c r="G7" s="8">
        <v>155</v>
      </c>
      <c r="H7" s="8">
        <v>900</v>
      </c>
      <c r="I7" s="6">
        <f t="shared" si="0"/>
        <v>0.39215686274509803</v>
      </c>
      <c r="J7" s="6">
        <f t="shared" si="1"/>
        <v>0.1</v>
      </c>
      <c r="K7" s="7">
        <f t="shared" si="2"/>
        <v>0.49215686274509807</v>
      </c>
      <c r="L7" s="1">
        <f>VLOOKUP($D7,Countries!$B$6:$M$72,12,FALSE)</f>
        <v>4.1245421245421241</v>
      </c>
      <c r="M7" s="9">
        <f t="shared" si="3"/>
        <v>2.0299217122746533</v>
      </c>
    </row>
    <row r="8" spans="2:13" x14ac:dyDescent="0.2">
      <c r="B8">
        <f t="shared" si="4"/>
        <v>3</v>
      </c>
      <c r="C8" t="s">
        <v>60</v>
      </c>
      <c r="D8" t="s">
        <v>8</v>
      </c>
      <c r="E8" t="s">
        <v>11</v>
      </c>
      <c r="F8" s="10">
        <v>1.5</v>
      </c>
      <c r="G8" s="8">
        <v>155</v>
      </c>
      <c r="H8" s="8">
        <v>900</v>
      </c>
      <c r="I8" s="6">
        <f t="shared" si="0"/>
        <v>0.39215686274509803</v>
      </c>
      <c r="J8" s="6">
        <f t="shared" si="1"/>
        <v>0.1</v>
      </c>
      <c r="K8" s="7">
        <f t="shared" si="2"/>
        <v>0.49215686274509807</v>
      </c>
      <c r="L8" s="1">
        <f>VLOOKUP($D8,Countries!$B$6:$M$72,12,FALSE)</f>
        <v>4.1245421245421241</v>
      </c>
      <c r="M8" s="9">
        <f t="shared" si="3"/>
        <v>2.0299217122746533</v>
      </c>
    </row>
    <row r="9" spans="2:13" x14ac:dyDescent="0.2">
      <c r="B9">
        <f t="shared" si="4"/>
        <v>4</v>
      </c>
      <c r="C9" t="s">
        <v>61</v>
      </c>
      <c r="D9" t="s">
        <v>8</v>
      </c>
      <c r="E9" t="s">
        <v>11</v>
      </c>
      <c r="F9" s="10">
        <v>1.5</v>
      </c>
      <c r="G9" s="8">
        <v>155</v>
      </c>
      <c r="H9" s="8">
        <v>900</v>
      </c>
      <c r="I9" s="6">
        <f t="shared" si="0"/>
        <v>0.39215686274509803</v>
      </c>
      <c r="J9" s="6">
        <f t="shared" si="1"/>
        <v>0.1</v>
      </c>
      <c r="K9" s="7">
        <f t="shared" si="2"/>
        <v>0.49215686274509807</v>
      </c>
      <c r="L9" s="1">
        <f>VLOOKUP($D9,Countries!$B$6:$M$72,12,FALSE)</f>
        <v>4.1245421245421241</v>
      </c>
      <c r="M9" s="9">
        <f t="shared" si="3"/>
        <v>2.0299217122746533</v>
      </c>
    </row>
    <row r="10" spans="2:13" x14ac:dyDescent="0.2">
      <c r="B10">
        <f t="shared" si="4"/>
        <v>5</v>
      </c>
      <c r="C10" t="s">
        <v>62</v>
      </c>
      <c r="D10" t="s">
        <v>8</v>
      </c>
      <c r="E10" t="s">
        <v>11</v>
      </c>
      <c r="F10" s="10">
        <v>1.5</v>
      </c>
      <c r="G10" s="8">
        <v>205</v>
      </c>
      <c r="H10" s="8">
        <v>1300</v>
      </c>
      <c r="I10" s="6">
        <f t="shared" si="0"/>
        <v>0.32786885245901637</v>
      </c>
      <c r="J10" s="6">
        <f t="shared" si="1"/>
        <v>7.1428571428571425E-2</v>
      </c>
      <c r="K10" s="7">
        <f t="shared" si="2"/>
        <v>0.39929742388758782</v>
      </c>
      <c r="L10" s="1">
        <f>VLOOKUP($D10,Countries!$B$6:$M$72,12,FALSE)</f>
        <v>4.1245421245421241</v>
      </c>
      <c r="M10" s="9">
        <f t="shared" si="3"/>
        <v>1.6469190450455085</v>
      </c>
    </row>
    <row r="11" spans="2:13" x14ac:dyDescent="0.2">
      <c r="B11">
        <f t="shared" si="4"/>
        <v>6</v>
      </c>
      <c r="C11" t="s">
        <v>115</v>
      </c>
      <c r="D11" t="s">
        <v>9</v>
      </c>
      <c r="E11" t="s">
        <v>10</v>
      </c>
      <c r="F11" s="10">
        <v>1</v>
      </c>
      <c r="G11" s="8">
        <v>245</v>
      </c>
      <c r="H11" s="8">
        <v>1700</v>
      </c>
      <c r="I11" s="6">
        <f>IF(G11&gt;0,100/(G11+100),-G11/(100-G11))</f>
        <v>0.28985507246376813</v>
      </c>
      <c r="J11" s="6">
        <f>IF(H11&gt;0,100/(H11+100),-H11/(100-H11))</f>
        <v>5.5555555555555552E-2</v>
      </c>
      <c r="K11" s="7">
        <f>I11+J11</f>
        <v>0.34541062801932365</v>
      </c>
      <c r="L11" s="1">
        <f>VLOOKUP($D11,Countries!$B$6:$M$72,12,FALSE)</f>
        <v>3.4747474747474749</v>
      </c>
      <c r="M11" s="9">
        <f>L11*K11</f>
        <v>1.2002147074610843</v>
      </c>
    </row>
    <row r="12" spans="2:13" x14ac:dyDescent="0.2">
      <c r="B12">
        <f t="shared" si="4"/>
        <v>7</v>
      </c>
      <c r="C12" t="s">
        <v>63</v>
      </c>
      <c r="D12" t="s">
        <v>10</v>
      </c>
      <c r="E12" t="s">
        <v>9</v>
      </c>
      <c r="F12" s="10">
        <v>1</v>
      </c>
      <c r="G12" s="8">
        <v>230</v>
      </c>
      <c r="H12" s="8">
        <v>1600</v>
      </c>
      <c r="I12" s="6">
        <f t="shared" si="0"/>
        <v>0.30303030303030304</v>
      </c>
      <c r="J12" s="6">
        <f t="shared" si="1"/>
        <v>5.8823529411764705E-2</v>
      </c>
      <c r="K12" s="7">
        <f t="shared" si="2"/>
        <v>0.36185383244206776</v>
      </c>
      <c r="L12" s="1">
        <f>VLOOKUP($D12,Countries!$B$6:$M$72,12,FALSE)</f>
        <v>3.4750665278259865</v>
      </c>
      <c r="M12" s="9">
        <f t="shared" si="3"/>
        <v>1.2574661410849828</v>
      </c>
    </row>
    <row r="13" spans="2:13" x14ac:dyDescent="0.2">
      <c r="B13">
        <f t="shared" si="4"/>
        <v>8</v>
      </c>
      <c r="C13" t="s">
        <v>64</v>
      </c>
      <c r="D13" t="s">
        <v>22</v>
      </c>
      <c r="E13" t="s">
        <v>21</v>
      </c>
      <c r="F13" s="10">
        <v>1.5</v>
      </c>
      <c r="G13" s="8">
        <v>180</v>
      </c>
      <c r="H13" s="8">
        <v>1100</v>
      </c>
      <c r="I13" s="6">
        <f t="shared" si="0"/>
        <v>0.35714285714285715</v>
      </c>
      <c r="J13" s="6">
        <f t="shared" si="1"/>
        <v>8.3333333333333329E-2</v>
      </c>
      <c r="K13" s="7">
        <f t="shared" si="2"/>
        <v>0.44047619047619047</v>
      </c>
      <c r="L13" s="1">
        <f>VLOOKUP($D13,Countries!$B$6:$M$72,12,FALSE)</f>
        <v>3.7154471544715446</v>
      </c>
      <c r="M13" s="9">
        <f t="shared" si="3"/>
        <v>1.636566008517228</v>
      </c>
    </row>
    <row r="14" spans="2:13" x14ac:dyDescent="0.2">
      <c r="B14">
        <f t="shared" si="4"/>
        <v>9</v>
      </c>
      <c r="C14" t="s">
        <v>65</v>
      </c>
      <c r="D14" t="s">
        <v>44</v>
      </c>
      <c r="E14" t="s">
        <v>45</v>
      </c>
      <c r="F14" s="10">
        <v>1.5</v>
      </c>
      <c r="G14" s="8">
        <v>230</v>
      </c>
      <c r="H14" s="8">
        <v>1600</v>
      </c>
      <c r="I14" s="6">
        <f t="shared" si="0"/>
        <v>0.30303030303030304</v>
      </c>
      <c r="J14" s="6">
        <f t="shared" si="1"/>
        <v>5.8823529411764705E-2</v>
      </c>
      <c r="K14" s="7">
        <f t="shared" si="2"/>
        <v>0.36185383244206776</v>
      </c>
      <c r="L14" s="1">
        <f>VLOOKUP($D14,Countries!$B$6:$M$72,12,FALSE)</f>
        <v>3.9385964912280702</v>
      </c>
      <c r="M14" s="9">
        <f t="shared" si="3"/>
        <v>1.4251962347937581</v>
      </c>
    </row>
    <row r="15" spans="2:13" x14ac:dyDescent="0.2">
      <c r="B15">
        <f t="shared" si="4"/>
        <v>10</v>
      </c>
      <c r="C15" t="s">
        <v>66</v>
      </c>
      <c r="D15" t="s">
        <v>44</v>
      </c>
      <c r="E15" t="s">
        <v>45</v>
      </c>
      <c r="F15" s="10">
        <v>1.5</v>
      </c>
      <c r="G15" s="8">
        <v>215</v>
      </c>
      <c r="H15" s="8">
        <v>1500</v>
      </c>
      <c r="I15" s="6">
        <f t="shared" si="0"/>
        <v>0.31746031746031744</v>
      </c>
      <c r="J15" s="6">
        <f t="shared" si="1"/>
        <v>6.25E-2</v>
      </c>
      <c r="K15" s="7">
        <f t="shared" si="2"/>
        <v>0.37996031746031744</v>
      </c>
      <c r="L15" s="1">
        <f>VLOOKUP($D15,Countries!$B$6:$M$72,12,FALSE)</f>
        <v>3.9385964912280702</v>
      </c>
      <c r="M15" s="9">
        <f t="shared" si="3"/>
        <v>1.4965103731551099</v>
      </c>
    </row>
    <row r="16" spans="2:13" x14ac:dyDescent="0.2">
      <c r="B16">
        <f t="shared" si="4"/>
        <v>11</v>
      </c>
      <c r="C16" t="s">
        <v>67</v>
      </c>
      <c r="D16" t="s">
        <v>44</v>
      </c>
      <c r="E16" t="s">
        <v>45</v>
      </c>
      <c r="F16" s="10">
        <v>1.5</v>
      </c>
      <c r="G16" s="8">
        <v>230</v>
      </c>
      <c r="H16" s="8">
        <v>1600</v>
      </c>
      <c r="I16" s="6">
        <f t="shared" si="0"/>
        <v>0.30303030303030304</v>
      </c>
      <c r="J16" s="6">
        <f t="shared" si="1"/>
        <v>5.8823529411764705E-2</v>
      </c>
      <c r="K16" s="7">
        <f t="shared" si="2"/>
        <v>0.36185383244206776</v>
      </c>
      <c r="L16" s="1">
        <f>VLOOKUP($D16,Countries!$B$6:$M$72,12,FALSE)</f>
        <v>3.9385964912280702</v>
      </c>
      <c r="M16" s="9">
        <f t="shared" si="3"/>
        <v>1.4251962347937581</v>
      </c>
    </row>
    <row r="17" spans="2:13" x14ac:dyDescent="0.2">
      <c r="B17">
        <f t="shared" si="4"/>
        <v>12</v>
      </c>
      <c r="C17" t="s">
        <v>68</v>
      </c>
      <c r="D17" t="s">
        <v>44</v>
      </c>
      <c r="E17" t="s">
        <v>45</v>
      </c>
      <c r="F17" s="10">
        <v>1.5</v>
      </c>
      <c r="G17" s="8">
        <v>250</v>
      </c>
      <c r="H17" s="8">
        <v>1800</v>
      </c>
      <c r="I17" s="6">
        <f t="shared" si="0"/>
        <v>0.2857142857142857</v>
      </c>
      <c r="J17" s="6">
        <f t="shared" si="1"/>
        <v>5.2631578947368418E-2</v>
      </c>
      <c r="K17" s="7">
        <f t="shared" si="2"/>
        <v>0.33834586466165412</v>
      </c>
      <c r="L17" s="1">
        <f>VLOOKUP($D17,Countries!$B$6:$M$72,12,FALSE)</f>
        <v>3.9385964912280702</v>
      </c>
      <c r="M17" s="9">
        <f t="shared" si="3"/>
        <v>1.3326078353779185</v>
      </c>
    </row>
    <row r="18" spans="2:13" x14ac:dyDescent="0.2">
      <c r="B18">
        <f t="shared" si="4"/>
        <v>13</v>
      </c>
      <c r="C18" t="s">
        <v>69</v>
      </c>
      <c r="D18" t="s">
        <v>20</v>
      </c>
      <c r="G18" s="8">
        <v>-105</v>
      </c>
      <c r="H18" s="8">
        <v>500</v>
      </c>
      <c r="I18" s="6">
        <f t="shared" si="0"/>
        <v>0.51219512195121952</v>
      </c>
      <c r="J18" s="6">
        <f t="shared" si="1"/>
        <v>0.16666666666666666</v>
      </c>
      <c r="K18" s="7">
        <f t="shared" si="2"/>
        <v>0.67886178861788615</v>
      </c>
      <c r="L18" s="1">
        <f>VLOOKUP($D18,Countries!$B$6:$M$72,12,FALSE)</f>
        <v>4.216374269005847</v>
      </c>
      <c r="M18" s="9">
        <f t="shared" si="3"/>
        <v>2.8623353777397416</v>
      </c>
    </row>
    <row r="19" spans="2:13" x14ac:dyDescent="0.2">
      <c r="B19">
        <f t="shared" si="4"/>
        <v>14</v>
      </c>
      <c r="C19" t="s">
        <v>70</v>
      </c>
      <c r="D19" t="s">
        <v>20</v>
      </c>
      <c r="G19" s="8">
        <v>115</v>
      </c>
      <c r="H19" s="8">
        <v>600</v>
      </c>
      <c r="I19" s="6">
        <f t="shared" si="0"/>
        <v>0.46511627906976744</v>
      </c>
      <c r="J19" s="6">
        <f t="shared" si="1"/>
        <v>0.14285714285714285</v>
      </c>
      <c r="K19" s="7">
        <f t="shared" si="2"/>
        <v>0.60797342192691028</v>
      </c>
      <c r="L19" s="1">
        <f>VLOOKUP($D19,Countries!$B$6:$M$72,12,FALSE)</f>
        <v>4.216374269005847</v>
      </c>
      <c r="M19" s="9">
        <f t="shared" si="3"/>
        <v>2.5634434924520599</v>
      </c>
    </row>
    <row r="20" spans="2:13" x14ac:dyDescent="0.2">
      <c r="B20">
        <f t="shared" si="4"/>
        <v>15</v>
      </c>
      <c r="C20" t="s">
        <v>71</v>
      </c>
      <c r="D20" t="s">
        <v>20</v>
      </c>
      <c r="G20" s="8">
        <v>125</v>
      </c>
      <c r="H20" s="8">
        <v>700</v>
      </c>
      <c r="I20" s="6">
        <f t="shared" si="0"/>
        <v>0.44444444444444442</v>
      </c>
      <c r="J20" s="6">
        <f t="shared" si="1"/>
        <v>0.125</v>
      </c>
      <c r="K20" s="7">
        <f t="shared" si="2"/>
        <v>0.56944444444444442</v>
      </c>
      <c r="L20" s="1">
        <f>VLOOKUP($D20,Countries!$B$6:$M$72,12,FALSE)</f>
        <v>4.216374269005847</v>
      </c>
      <c r="M20" s="9">
        <f t="shared" si="3"/>
        <v>2.4009909031838852</v>
      </c>
    </row>
    <row r="21" spans="2:13" x14ac:dyDescent="0.2">
      <c r="B21">
        <f t="shared" si="4"/>
        <v>16</v>
      </c>
      <c r="C21" t="s">
        <v>72</v>
      </c>
      <c r="D21" t="s">
        <v>28</v>
      </c>
      <c r="G21" s="8">
        <v>205</v>
      </c>
      <c r="H21" s="8">
        <v>1300</v>
      </c>
      <c r="I21" s="6">
        <f t="shared" si="0"/>
        <v>0.32786885245901637</v>
      </c>
      <c r="J21" s="6">
        <f t="shared" si="1"/>
        <v>7.1428571428571425E-2</v>
      </c>
      <c r="K21" s="7">
        <f t="shared" si="2"/>
        <v>0.39929742388758782</v>
      </c>
      <c r="L21" s="1">
        <f>VLOOKUP($D21,Countries!$B$6:$M$72,12,FALSE)</f>
        <v>4.9555555555555557</v>
      </c>
      <c r="M21" s="9">
        <f t="shared" si="3"/>
        <v>1.9787405672651575</v>
      </c>
    </row>
    <row r="22" spans="2:13" x14ac:dyDescent="0.2">
      <c r="B22">
        <f t="shared" si="4"/>
        <v>17</v>
      </c>
      <c r="C22" t="s">
        <v>73</v>
      </c>
      <c r="D22" t="s">
        <v>28</v>
      </c>
      <c r="G22" s="8">
        <v>195</v>
      </c>
      <c r="H22" s="8">
        <v>1200</v>
      </c>
      <c r="I22" s="6">
        <f t="shared" si="0"/>
        <v>0.33898305084745761</v>
      </c>
      <c r="J22" s="6">
        <f t="shared" si="1"/>
        <v>7.6923076923076927E-2</v>
      </c>
      <c r="K22" s="7">
        <f t="shared" si="2"/>
        <v>0.41590612777053454</v>
      </c>
      <c r="L22" s="1">
        <f>VLOOKUP($D22,Countries!$B$6:$M$72,12,FALSE)</f>
        <v>4.9555555555555557</v>
      </c>
      <c r="M22" s="9">
        <f t="shared" si="3"/>
        <v>2.0610459220628714</v>
      </c>
    </row>
    <row r="23" spans="2:13" x14ac:dyDescent="0.2">
      <c r="B23">
        <f t="shared" si="4"/>
        <v>18</v>
      </c>
      <c r="C23" t="s">
        <v>74</v>
      </c>
      <c r="D23" t="s">
        <v>28</v>
      </c>
      <c r="G23" s="8">
        <v>215</v>
      </c>
      <c r="H23" s="8">
        <v>1400</v>
      </c>
      <c r="I23" s="6">
        <f t="shared" si="0"/>
        <v>0.31746031746031744</v>
      </c>
      <c r="J23" s="6">
        <f t="shared" si="1"/>
        <v>6.6666666666666666E-2</v>
      </c>
      <c r="K23" s="7">
        <f t="shared" si="2"/>
        <v>0.38412698412698409</v>
      </c>
      <c r="L23" s="1">
        <f>VLOOKUP($D23,Countries!$B$6:$M$72,12,FALSE)</f>
        <v>4.9555555555555557</v>
      </c>
      <c r="M23" s="9">
        <f t="shared" si="3"/>
        <v>1.9035626102292769</v>
      </c>
    </row>
    <row r="24" spans="2:13" x14ac:dyDescent="0.2">
      <c r="B24">
        <f t="shared" si="4"/>
        <v>19</v>
      </c>
      <c r="C24" t="s">
        <v>75</v>
      </c>
      <c r="D24" t="s">
        <v>28</v>
      </c>
      <c r="G24" s="8">
        <v>215</v>
      </c>
      <c r="H24" s="8">
        <v>1400</v>
      </c>
      <c r="I24" s="6">
        <f t="shared" si="0"/>
        <v>0.31746031746031744</v>
      </c>
      <c r="J24" s="6">
        <f t="shared" si="1"/>
        <v>6.6666666666666666E-2</v>
      </c>
      <c r="K24" s="7">
        <f t="shared" si="2"/>
        <v>0.38412698412698409</v>
      </c>
      <c r="L24" s="1">
        <f>VLOOKUP($D24,Countries!$B$6:$M$72,12,FALSE)</f>
        <v>4.9555555555555557</v>
      </c>
      <c r="M24" s="9">
        <f t="shared" si="3"/>
        <v>1.9035626102292769</v>
      </c>
    </row>
    <row r="25" spans="2:13" x14ac:dyDescent="0.2">
      <c r="B25">
        <f t="shared" si="4"/>
        <v>20</v>
      </c>
      <c r="C25" t="s">
        <v>76</v>
      </c>
      <c r="D25" t="s">
        <v>28</v>
      </c>
      <c r="G25" s="8">
        <v>215</v>
      </c>
      <c r="H25" s="8">
        <v>1400</v>
      </c>
      <c r="I25" s="6">
        <f t="shared" si="0"/>
        <v>0.31746031746031744</v>
      </c>
      <c r="J25" s="6">
        <f t="shared" si="1"/>
        <v>6.6666666666666666E-2</v>
      </c>
      <c r="K25" s="7">
        <f t="shared" si="2"/>
        <v>0.38412698412698409</v>
      </c>
      <c r="L25" s="1">
        <f>VLOOKUP($D25,Countries!$B$6:$M$72,12,FALSE)</f>
        <v>4.9555555555555557</v>
      </c>
      <c r="M25" s="9">
        <f t="shared" si="3"/>
        <v>1.9035626102292769</v>
      </c>
    </row>
    <row r="26" spans="2:13" x14ac:dyDescent="0.2">
      <c r="B26">
        <f t="shared" si="4"/>
        <v>21</v>
      </c>
      <c r="C26" t="s">
        <v>77</v>
      </c>
      <c r="D26" t="s">
        <v>28</v>
      </c>
      <c r="G26" s="8">
        <v>245</v>
      </c>
      <c r="H26" s="8">
        <v>1700</v>
      </c>
      <c r="I26" s="6">
        <f t="shared" si="0"/>
        <v>0.28985507246376813</v>
      </c>
      <c r="J26" s="6">
        <f t="shared" si="1"/>
        <v>5.5555555555555552E-2</v>
      </c>
      <c r="K26" s="7">
        <f t="shared" si="2"/>
        <v>0.34541062801932365</v>
      </c>
      <c r="L26" s="1">
        <f>VLOOKUP($D26,Countries!$B$6:$M$72,12,FALSE)</f>
        <v>4.9555555555555557</v>
      </c>
      <c r="M26" s="9">
        <f t="shared" si="3"/>
        <v>1.7117015566290927</v>
      </c>
    </row>
    <row r="27" spans="2:13" x14ac:dyDescent="0.2">
      <c r="B27">
        <f t="shared" si="4"/>
        <v>22</v>
      </c>
      <c r="C27" t="s">
        <v>78</v>
      </c>
      <c r="D27" t="s">
        <v>28</v>
      </c>
      <c r="G27" s="8">
        <v>280</v>
      </c>
      <c r="H27" s="8">
        <v>2000</v>
      </c>
      <c r="I27" s="6">
        <f t="shared" si="0"/>
        <v>0.26315789473684209</v>
      </c>
      <c r="J27" s="6">
        <f t="shared" si="1"/>
        <v>4.7619047619047616E-2</v>
      </c>
      <c r="K27" s="7">
        <f t="shared" si="2"/>
        <v>0.31077694235588971</v>
      </c>
      <c r="L27" s="1">
        <f>VLOOKUP($D27,Countries!$B$6:$M$72,12,FALSE)</f>
        <v>4.9555555555555557</v>
      </c>
      <c r="M27" s="9">
        <f t="shared" si="3"/>
        <v>1.5400724032302979</v>
      </c>
    </row>
    <row r="28" spans="2:13" x14ac:dyDescent="0.2">
      <c r="B28">
        <f t="shared" si="4"/>
        <v>23</v>
      </c>
      <c r="C28" t="s">
        <v>79</v>
      </c>
      <c r="D28" t="s">
        <v>28</v>
      </c>
      <c r="G28" s="8">
        <v>320</v>
      </c>
      <c r="H28" s="8">
        <v>2500</v>
      </c>
      <c r="I28" s="6">
        <f t="shared" si="0"/>
        <v>0.23809523809523808</v>
      </c>
      <c r="J28" s="6">
        <f t="shared" si="1"/>
        <v>3.8461538461538464E-2</v>
      </c>
      <c r="K28" s="7">
        <f t="shared" si="2"/>
        <v>0.27655677655677657</v>
      </c>
      <c r="L28" s="1">
        <f>VLOOKUP($D28,Countries!$B$6:$M$72,12,FALSE)</f>
        <v>4.9555555555555557</v>
      </c>
      <c r="M28" s="9">
        <f t="shared" si="3"/>
        <v>1.3704924704924706</v>
      </c>
    </row>
    <row r="29" spans="2:13" x14ac:dyDescent="0.2">
      <c r="B29">
        <f t="shared" si="4"/>
        <v>24</v>
      </c>
      <c r="C29" t="s">
        <v>80</v>
      </c>
      <c r="D29" t="s">
        <v>28</v>
      </c>
      <c r="G29" s="8">
        <v>320</v>
      </c>
      <c r="H29" s="8">
        <v>2500</v>
      </c>
      <c r="I29" s="6">
        <f t="shared" si="0"/>
        <v>0.23809523809523808</v>
      </c>
      <c r="J29" s="6">
        <f t="shared" si="1"/>
        <v>3.8461538461538464E-2</v>
      </c>
      <c r="K29" s="7">
        <f t="shared" si="2"/>
        <v>0.27655677655677657</v>
      </c>
      <c r="L29" s="1">
        <f>VLOOKUP($D29,Countries!$B$6:$M$72,12,FALSE)</f>
        <v>4.9555555555555557</v>
      </c>
      <c r="M29" s="9">
        <f t="shared" si="3"/>
        <v>1.3704924704924706</v>
      </c>
    </row>
    <row r="30" spans="2:13" x14ac:dyDescent="0.2">
      <c r="B30">
        <f t="shared" si="4"/>
        <v>25</v>
      </c>
      <c r="C30" t="s">
        <v>81</v>
      </c>
      <c r="D30" t="s">
        <v>29</v>
      </c>
      <c r="G30" s="8">
        <v>140</v>
      </c>
      <c r="H30" s="8">
        <v>800</v>
      </c>
      <c r="I30" s="6">
        <f t="shared" si="0"/>
        <v>0.41666666666666669</v>
      </c>
      <c r="J30" s="6">
        <f t="shared" si="1"/>
        <v>0.1111111111111111</v>
      </c>
      <c r="K30" s="7">
        <f t="shared" si="2"/>
        <v>0.52777777777777779</v>
      </c>
      <c r="L30" s="1">
        <f>VLOOKUP($D30,Countries!$B$6:$M$72,12,FALSE)</f>
        <v>3.2065095398428731</v>
      </c>
      <c r="M30" s="9">
        <f t="shared" si="3"/>
        <v>1.6923244793615164</v>
      </c>
    </row>
    <row r="31" spans="2:13" x14ac:dyDescent="0.2">
      <c r="B31">
        <f t="shared" si="4"/>
        <v>26</v>
      </c>
      <c r="C31" t="s">
        <v>82</v>
      </c>
      <c r="D31" t="s">
        <v>29</v>
      </c>
      <c r="G31" s="8">
        <v>150</v>
      </c>
      <c r="H31" s="8">
        <v>800</v>
      </c>
      <c r="I31" s="6">
        <f t="shared" si="0"/>
        <v>0.4</v>
      </c>
      <c r="J31" s="6">
        <f t="shared" si="1"/>
        <v>0.1111111111111111</v>
      </c>
      <c r="K31" s="7">
        <f t="shared" si="2"/>
        <v>0.51111111111111107</v>
      </c>
      <c r="L31" s="1">
        <f>VLOOKUP($D31,Countries!$B$6:$M$72,12,FALSE)</f>
        <v>3.2065095398428731</v>
      </c>
      <c r="M31" s="9">
        <f t="shared" si="3"/>
        <v>1.6388826536974683</v>
      </c>
    </row>
    <row r="32" spans="2:13" x14ac:dyDescent="0.2">
      <c r="B32">
        <f t="shared" si="4"/>
        <v>27</v>
      </c>
      <c r="C32" t="s">
        <v>83</v>
      </c>
      <c r="D32" t="s">
        <v>29</v>
      </c>
      <c r="G32" s="8">
        <v>165</v>
      </c>
      <c r="H32" s="8">
        <v>1000</v>
      </c>
      <c r="I32" s="6">
        <f t="shared" si="0"/>
        <v>0.37735849056603776</v>
      </c>
      <c r="J32" s="6">
        <f t="shared" si="1"/>
        <v>9.0909090909090912E-2</v>
      </c>
      <c r="K32" s="7">
        <f t="shared" si="2"/>
        <v>0.4682675814751287</v>
      </c>
      <c r="L32" s="1">
        <f>VLOOKUP($D32,Countries!$B$6:$M$72,12,FALSE)</f>
        <v>3.2065095398428731</v>
      </c>
      <c r="M32" s="9">
        <f t="shared" si="3"/>
        <v>1.50150446719915</v>
      </c>
    </row>
    <row r="33" spans="2:13" x14ac:dyDescent="0.2">
      <c r="B33">
        <f t="shared" si="4"/>
        <v>28</v>
      </c>
      <c r="C33" t="s">
        <v>84</v>
      </c>
      <c r="D33" t="s">
        <v>16</v>
      </c>
      <c r="G33" s="8">
        <v>-160</v>
      </c>
      <c r="H33" s="8">
        <v>290</v>
      </c>
      <c r="I33" s="6">
        <f t="shared" si="0"/>
        <v>0.61538461538461542</v>
      </c>
      <c r="J33" s="6">
        <f t="shared" si="1"/>
        <v>0.25641025641025639</v>
      </c>
      <c r="K33" s="7">
        <f t="shared" si="2"/>
        <v>0.87179487179487181</v>
      </c>
      <c r="L33" s="1">
        <f>VLOOKUP($D33,Countries!$B$6:$M$72,12,FALSE)</f>
        <v>4.7362637362637363</v>
      </c>
      <c r="M33" s="9">
        <f t="shared" si="3"/>
        <v>4.1290504367427445</v>
      </c>
    </row>
    <row r="34" spans="2:13" x14ac:dyDescent="0.2">
      <c r="B34">
        <f t="shared" si="4"/>
        <v>29</v>
      </c>
      <c r="C34" t="s">
        <v>85</v>
      </c>
      <c r="D34" t="s">
        <v>16</v>
      </c>
      <c r="G34" s="8">
        <v>-160</v>
      </c>
      <c r="H34" s="8">
        <v>290</v>
      </c>
      <c r="I34" s="6">
        <f t="shared" si="0"/>
        <v>0.61538461538461542</v>
      </c>
      <c r="J34" s="6">
        <f t="shared" si="1"/>
        <v>0.25641025641025639</v>
      </c>
      <c r="K34" s="7">
        <f t="shared" si="2"/>
        <v>0.87179487179487181</v>
      </c>
      <c r="L34" s="1">
        <f>VLOOKUP($D34,Countries!$B$6:$M$72,12,FALSE)</f>
        <v>4.7362637362637363</v>
      </c>
      <c r="M34" s="9">
        <f t="shared" si="3"/>
        <v>4.1290504367427445</v>
      </c>
    </row>
    <row r="35" spans="2:13" x14ac:dyDescent="0.2">
      <c r="B35">
        <f t="shared" si="4"/>
        <v>30</v>
      </c>
      <c r="C35" t="s">
        <v>86</v>
      </c>
      <c r="D35" t="s">
        <v>16</v>
      </c>
      <c r="G35" s="8">
        <v>-145</v>
      </c>
      <c r="H35" s="8">
        <v>330</v>
      </c>
      <c r="I35" s="6">
        <f t="shared" si="0"/>
        <v>0.59183673469387754</v>
      </c>
      <c r="J35" s="6">
        <f t="shared" si="1"/>
        <v>0.23255813953488372</v>
      </c>
      <c r="K35" s="7">
        <f t="shared" si="2"/>
        <v>0.82439487422876123</v>
      </c>
      <c r="L35" s="1">
        <f>VLOOKUP($D35,Countries!$B$6:$M$72,12,FALSE)</f>
        <v>4.7362637362637363</v>
      </c>
      <c r="M35" s="9">
        <f t="shared" si="3"/>
        <v>3.9045515471713856</v>
      </c>
    </row>
    <row r="36" spans="2:13" x14ac:dyDescent="0.2">
      <c r="B36">
        <f t="shared" si="4"/>
        <v>31</v>
      </c>
      <c r="C36" t="s">
        <v>87</v>
      </c>
      <c r="D36" t="s">
        <v>16</v>
      </c>
      <c r="G36" s="8">
        <v>-130</v>
      </c>
      <c r="H36" s="8">
        <v>370</v>
      </c>
      <c r="I36" s="6">
        <f t="shared" si="0"/>
        <v>0.56521739130434778</v>
      </c>
      <c r="J36" s="6">
        <f t="shared" si="1"/>
        <v>0.21276595744680851</v>
      </c>
      <c r="K36" s="7">
        <f t="shared" si="2"/>
        <v>0.77798334875115627</v>
      </c>
      <c r="L36" s="1">
        <f>VLOOKUP($D36,Countries!$B$6:$M$72,12,FALSE)</f>
        <v>4.7362637362637363</v>
      </c>
      <c r="M36" s="9">
        <f t="shared" si="3"/>
        <v>3.6847343221071247</v>
      </c>
    </row>
    <row r="37" spans="2:13" x14ac:dyDescent="0.2">
      <c r="B37">
        <f t="shared" si="4"/>
        <v>32</v>
      </c>
      <c r="C37" t="s">
        <v>88</v>
      </c>
      <c r="D37" t="s">
        <v>16</v>
      </c>
      <c r="G37" s="8">
        <v>-120</v>
      </c>
      <c r="H37" s="8">
        <v>400</v>
      </c>
      <c r="I37" s="6">
        <f t="shared" si="0"/>
        <v>0.54545454545454541</v>
      </c>
      <c r="J37" s="6">
        <f t="shared" si="1"/>
        <v>0.2</v>
      </c>
      <c r="K37" s="7">
        <f t="shared" si="2"/>
        <v>0.74545454545454537</v>
      </c>
      <c r="L37" s="1">
        <f>VLOOKUP($D37,Countries!$B$6:$M$72,12,FALSE)</f>
        <v>4.7362637362637363</v>
      </c>
      <c r="M37" s="9">
        <f t="shared" si="3"/>
        <v>3.5306693306693302</v>
      </c>
    </row>
    <row r="38" spans="2:13" x14ac:dyDescent="0.2">
      <c r="B38">
        <f t="shared" si="4"/>
        <v>33</v>
      </c>
      <c r="C38" t="s">
        <v>89</v>
      </c>
      <c r="D38" t="s">
        <v>16</v>
      </c>
      <c r="G38" s="8">
        <v>-110</v>
      </c>
      <c r="H38" s="8">
        <v>450</v>
      </c>
      <c r="I38" s="6">
        <f t="shared" si="0"/>
        <v>0.52380952380952384</v>
      </c>
      <c r="J38" s="6">
        <f t="shared" si="1"/>
        <v>0.18181818181818182</v>
      </c>
      <c r="K38" s="7">
        <f t="shared" si="2"/>
        <v>0.7056277056277056</v>
      </c>
      <c r="L38" s="1">
        <f>VLOOKUP($D38,Countries!$B$6:$M$72,12,FALSE)</f>
        <v>4.7362637362637363</v>
      </c>
      <c r="M38" s="9">
        <f t="shared" si="3"/>
        <v>3.3420389134674848</v>
      </c>
    </row>
    <row r="39" spans="2:13" x14ac:dyDescent="0.2">
      <c r="B39">
        <f t="shared" si="4"/>
        <v>34</v>
      </c>
      <c r="C39" t="s">
        <v>90</v>
      </c>
      <c r="D39" t="s">
        <v>16</v>
      </c>
      <c r="G39" s="8">
        <v>100</v>
      </c>
      <c r="H39" s="8">
        <v>500</v>
      </c>
      <c r="I39" s="6">
        <f t="shared" ref="I39:I70" si="5">IF(G39&gt;0,100/(G39+100),-G39/(100-G39))</f>
        <v>0.5</v>
      </c>
      <c r="J39" s="6">
        <f t="shared" ref="J39:J70" si="6">IF(H39&gt;0,100/(H39+100),-H39/(100-H39))</f>
        <v>0.16666666666666666</v>
      </c>
      <c r="K39" s="7">
        <f t="shared" ref="K39:K70" si="7">I39+J39</f>
        <v>0.66666666666666663</v>
      </c>
      <c r="L39" s="1">
        <f>VLOOKUP($D39,Countries!$B$6:$M$72,12,FALSE)</f>
        <v>4.7362637362637363</v>
      </c>
      <c r="M39" s="9">
        <f t="shared" ref="M39:M70" si="8">L39*K39</f>
        <v>3.1575091575091574</v>
      </c>
    </row>
    <row r="40" spans="2:13" x14ac:dyDescent="0.2">
      <c r="B40">
        <f t="shared" si="4"/>
        <v>35</v>
      </c>
      <c r="C40" t="s">
        <v>91</v>
      </c>
      <c r="D40" t="s">
        <v>16</v>
      </c>
      <c r="G40" s="8">
        <v>110</v>
      </c>
      <c r="H40" s="8">
        <v>600</v>
      </c>
      <c r="I40" s="6">
        <f t="shared" si="5"/>
        <v>0.47619047619047616</v>
      </c>
      <c r="J40" s="6">
        <f t="shared" si="6"/>
        <v>0.14285714285714285</v>
      </c>
      <c r="K40" s="7">
        <f t="shared" si="7"/>
        <v>0.61904761904761907</v>
      </c>
      <c r="L40" s="1">
        <f>VLOOKUP($D40,Countries!$B$6:$M$72,12,FALSE)</f>
        <v>4.7362637362637363</v>
      </c>
      <c r="M40" s="9">
        <f t="shared" si="8"/>
        <v>2.9319727891156462</v>
      </c>
    </row>
    <row r="41" spans="2:13" x14ac:dyDescent="0.2">
      <c r="B41">
        <f t="shared" si="4"/>
        <v>36</v>
      </c>
      <c r="C41" t="s">
        <v>92</v>
      </c>
      <c r="D41" t="s">
        <v>16</v>
      </c>
      <c r="G41" s="8">
        <v>145</v>
      </c>
      <c r="H41" s="8">
        <v>850</v>
      </c>
      <c r="I41" s="6">
        <f t="shared" si="5"/>
        <v>0.40816326530612246</v>
      </c>
      <c r="J41" s="6">
        <f t="shared" si="6"/>
        <v>0.10526315789473684</v>
      </c>
      <c r="K41" s="7">
        <f t="shared" si="7"/>
        <v>0.51342642320085929</v>
      </c>
      <c r="L41" s="1">
        <f>VLOOKUP($D41,Countries!$B$6:$M$72,12,FALSE)</f>
        <v>4.7362637362637363</v>
      </c>
      <c r="M41" s="9">
        <f t="shared" si="8"/>
        <v>2.4317229494458279</v>
      </c>
    </row>
    <row r="42" spans="2:13" x14ac:dyDescent="0.2">
      <c r="B42">
        <f t="shared" si="4"/>
        <v>37</v>
      </c>
      <c r="C42" t="s">
        <v>93</v>
      </c>
      <c r="D42" t="s">
        <v>16</v>
      </c>
      <c r="G42" s="8">
        <v>210</v>
      </c>
      <c r="H42" s="8">
        <v>1400</v>
      </c>
      <c r="I42" s="6">
        <f t="shared" si="5"/>
        <v>0.32258064516129031</v>
      </c>
      <c r="J42" s="6">
        <f t="shared" si="6"/>
        <v>6.6666666666666666E-2</v>
      </c>
      <c r="K42" s="7">
        <f t="shared" si="7"/>
        <v>0.38924731182795697</v>
      </c>
      <c r="L42" s="1">
        <f>VLOOKUP($D42,Countries!$B$6:$M$72,12,FALSE)</f>
        <v>4.7362637362637363</v>
      </c>
      <c r="M42" s="9">
        <f t="shared" si="8"/>
        <v>1.843577927448895</v>
      </c>
    </row>
    <row r="43" spans="2:13" x14ac:dyDescent="0.2">
      <c r="B43">
        <f t="shared" si="4"/>
        <v>38</v>
      </c>
      <c r="C43" t="s">
        <v>94</v>
      </c>
      <c r="D43" t="s">
        <v>32</v>
      </c>
      <c r="G43" s="8">
        <v>185</v>
      </c>
      <c r="H43" s="8">
        <v>1100</v>
      </c>
      <c r="I43" s="6">
        <f t="shared" si="5"/>
        <v>0.35087719298245612</v>
      </c>
      <c r="J43" s="6">
        <f t="shared" si="6"/>
        <v>8.3333333333333329E-2</v>
      </c>
      <c r="K43" s="7">
        <f t="shared" si="7"/>
        <v>0.43421052631578944</v>
      </c>
      <c r="L43" s="1">
        <f>VLOOKUP($D43,Countries!$B$6:$M$72,12,FALSE)</f>
        <v>4.31111111111111</v>
      </c>
      <c r="M43" s="9">
        <f t="shared" si="8"/>
        <v>1.8719298245614029</v>
      </c>
    </row>
    <row r="44" spans="2:13" x14ac:dyDescent="0.2">
      <c r="B44">
        <f t="shared" si="4"/>
        <v>39</v>
      </c>
      <c r="C44" t="s">
        <v>95</v>
      </c>
      <c r="D44" t="s">
        <v>32</v>
      </c>
      <c r="G44" s="8">
        <v>195</v>
      </c>
      <c r="H44" s="8">
        <v>1200</v>
      </c>
      <c r="I44" s="6">
        <f t="shared" si="5"/>
        <v>0.33898305084745761</v>
      </c>
      <c r="J44" s="6">
        <f t="shared" si="6"/>
        <v>7.6923076923076927E-2</v>
      </c>
      <c r="K44" s="7">
        <f t="shared" si="7"/>
        <v>0.41590612777053454</v>
      </c>
      <c r="L44" s="1">
        <f>VLOOKUP($D44,Countries!$B$6:$M$72,12,FALSE)</f>
        <v>4.31111111111111</v>
      </c>
      <c r="M44" s="9">
        <f t="shared" si="8"/>
        <v>1.7930175286107484</v>
      </c>
    </row>
    <row r="45" spans="2:13" x14ac:dyDescent="0.2">
      <c r="B45">
        <f t="shared" si="4"/>
        <v>40</v>
      </c>
      <c r="C45" t="s">
        <v>96</v>
      </c>
      <c r="D45" t="s">
        <v>32</v>
      </c>
      <c r="G45" s="8">
        <v>245</v>
      </c>
      <c r="H45" s="8">
        <v>1700</v>
      </c>
      <c r="I45" s="6">
        <f t="shared" si="5"/>
        <v>0.28985507246376813</v>
      </c>
      <c r="J45" s="6">
        <f t="shared" si="6"/>
        <v>5.5555555555555552E-2</v>
      </c>
      <c r="K45" s="7">
        <f t="shared" si="7"/>
        <v>0.34541062801932365</v>
      </c>
      <c r="L45" s="1">
        <f>VLOOKUP($D45,Countries!$B$6:$M$72,12,FALSE)</f>
        <v>4.31111111111111</v>
      </c>
      <c r="M45" s="9">
        <f t="shared" si="8"/>
        <v>1.4891035963499728</v>
      </c>
    </row>
    <row r="46" spans="2:13" x14ac:dyDescent="0.2">
      <c r="B46">
        <f t="shared" si="4"/>
        <v>41</v>
      </c>
      <c r="C46" t="s">
        <v>97</v>
      </c>
      <c r="D46" t="s">
        <v>32</v>
      </c>
      <c r="G46" s="8">
        <v>250</v>
      </c>
      <c r="H46" s="8">
        <v>1800</v>
      </c>
      <c r="I46" s="6">
        <f t="shared" si="5"/>
        <v>0.2857142857142857</v>
      </c>
      <c r="J46" s="6">
        <f t="shared" si="6"/>
        <v>5.2631578947368418E-2</v>
      </c>
      <c r="K46" s="7">
        <f t="shared" si="7"/>
        <v>0.33834586466165412</v>
      </c>
      <c r="L46" s="1">
        <f>VLOOKUP($D46,Countries!$B$6:$M$72,12,FALSE)</f>
        <v>4.31111111111111</v>
      </c>
      <c r="M46" s="9">
        <f t="shared" si="8"/>
        <v>1.458646616541353</v>
      </c>
    </row>
    <row r="47" spans="2:13" x14ac:dyDescent="0.2">
      <c r="B47">
        <f t="shared" si="4"/>
        <v>42</v>
      </c>
      <c r="C47" t="s">
        <v>98</v>
      </c>
      <c r="D47" t="s">
        <v>32</v>
      </c>
      <c r="G47" s="8">
        <v>275</v>
      </c>
      <c r="H47" s="8">
        <v>2000</v>
      </c>
      <c r="I47" s="6">
        <f t="shared" si="5"/>
        <v>0.26666666666666666</v>
      </c>
      <c r="J47" s="6">
        <f t="shared" si="6"/>
        <v>4.7619047619047616E-2</v>
      </c>
      <c r="K47" s="7">
        <f t="shared" si="7"/>
        <v>0.31428571428571428</v>
      </c>
      <c r="L47" s="1">
        <f>VLOOKUP($D47,Countries!$B$6:$M$72,12,FALSE)</f>
        <v>4.31111111111111</v>
      </c>
      <c r="M47" s="9">
        <f t="shared" si="8"/>
        <v>1.3549206349206346</v>
      </c>
    </row>
    <row r="48" spans="2:13" x14ac:dyDescent="0.2">
      <c r="B48">
        <f t="shared" si="4"/>
        <v>43</v>
      </c>
      <c r="C48" t="s">
        <v>99</v>
      </c>
      <c r="D48" t="s">
        <v>18</v>
      </c>
      <c r="G48" s="8">
        <v>220</v>
      </c>
      <c r="H48" s="8">
        <v>1500</v>
      </c>
      <c r="I48" s="6">
        <f t="shared" si="5"/>
        <v>0.3125</v>
      </c>
      <c r="J48" s="6">
        <f t="shared" si="6"/>
        <v>6.25E-2</v>
      </c>
      <c r="K48" s="7">
        <f t="shared" si="7"/>
        <v>0.375</v>
      </c>
      <c r="L48" s="1">
        <f>VLOOKUP($D48,Countries!$B$6:$M$72,12,FALSE)</f>
        <v>3.4810874704491725</v>
      </c>
      <c r="M48" s="9">
        <f t="shared" si="8"/>
        <v>1.3054078014184398</v>
      </c>
    </row>
    <row r="49" spans="2:13" x14ac:dyDescent="0.2">
      <c r="B49">
        <f t="shared" si="4"/>
        <v>44</v>
      </c>
      <c r="C49" t="s">
        <v>100</v>
      </c>
      <c r="D49" t="s">
        <v>33</v>
      </c>
      <c r="G49" s="8">
        <v>150</v>
      </c>
      <c r="H49" s="8">
        <v>850</v>
      </c>
      <c r="I49" s="6">
        <f t="shared" si="5"/>
        <v>0.4</v>
      </c>
      <c r="J49" s="6">
        <f t="shared" si="6"/>
        <v>0.10526315789473684</v>
      </c>
      <c r="K49" s="7">
        <f t="shared" si="7"/>
        <v>0.50526315789473686</v>
      </c>
      <c r="L49" s="1">
        <f>VLOOKUP($D49,Countries!$B$6:$M$72,12,FALSE)</f>
        <v>3.402852049910873</v>
      </c>
      <c r="M49" s="9">
        <f t="shared" si="8"/>
        <v>1.7193357725865464</v>
      </c>
    </row>
    <row r="50" spans="2:13" x14ac:dyDescent="0.2">
      <c r="B50">
        <f t="shared" si="4"/>
        <v>45</v>
      </c>
      <c r="C50" t="s">
        <v>101</v>
      </c>
      <c r="D50" t="s">
        <v>33</v>
      </c>
      <c r="G50" s="8">
        <v>160</v>
      </c>
      <c r="H50" s="8">
        <v>950</v>
      </c>
      <c r="I50" s="6">
        <f t="shared" si="5"/>
        <v>0.38461538461538464</v>
      </c>
      <c r="J50" s="6">
        <f t="shared" si="6"/>
        <v>9.5238095238095233E-2</v>
      </c>
      <c r="K50" s="7">
        <f t="shared" si="7"/>
        <v>0.47985347985347987</v>
      </c>
      <c r="L50" s="1">
        <f>VLOOKUP($D50,Countries!$B$6:$M$72,12,FALSE)</f>
        <v>3.402852049910873</v>
      </c>
      <c r="M50" s="9">
        <f t="shared" si="8"/>
        <v>1.6328703975762797</v>
      </c>
    </row>
    <row r="51" spans="2:13" x14ac:dyDescent="0.2">
      <c r="B51">
        <f t="shared" si="4"/>
        <v>46</v>
      </c>
      <c r="C51" t="s">
        <v>102</v>
      </c>
      <c r="D51" t="s">
        <v>40</v>
      </c>
      <c r="G51" s="8">
        <v>-190</v>
      </c>
      <c r="H51" s="8">
        <v>240</v>
      </c>
      <c r="I51" s="6">
        <f t="shared" si="5"/>
        <v>0.65517241379310343</v>
      </c>
      <c r="J51" s="6">
        <f t="shared" si="6"/>
        <v>0.29411764705882354</v>
      </c>
      <c r="K51" s="7">
        <f t="shared" si="7"/>
        <v>0.94929006085192702</v>
      </c>
      <c r="L51" s="1">
        <f>VLOOKUP($D51,Countries!$B$6:$M$72,12,FALSE)</f>
        <v>5.2249999999999996</v>
      </c>
      <c r="M51" s="9">
        <f t="shared" si="8"/>
        <v>4.9600405679513182</v>
      </c>
    </row>
    <row r="52" spans="2:13" x14ac:dyDescent="0.2">
      <c r="B52">
        <f t="shared" si="4"/>
        <v>47</v>
      </c>
      <c r="C52" t="s">
        <v>103</v>
      </c>
      <c r="D52" t="s">
        <v>40</v>
      </c>
      <c r="G52" s="8">
        <v>-150</v>
      </c>
      <c r="H52" s="8">
        <v>310</v>
      </c>
      <c r="I52" s="6">
        <f t="shared" si="5"/>
        <v>0.6</v>
      </c>
      <c r="J52" s="6">
        <f t="shared" si="6"/>
        <v>0.24390243902439024</v>
      </c>
      <c r="K52" s="7">
        <f t="shared" si="7"/>
        <v>0.84390243902439022</v>
      </c>
      <c r="L52" s="1">
        <f>VLOOKUP($D52,Countries!$B$6:$M$72,12,FALSE)</f>
        <v>5.2249999999999996</v>
      </c>
      <c r="M52" s="9">
        <f t="shared" si="8"/>
        <v>4.4093902439024388</v>
      </c>
    </row>
    <row r="53" spans="2:13" x14ac:dyDescent="0.2">
      <c r="B53">
        <f t="shared" si="4"/>
        <v>48</v>
      </c>
      <c r="C53" t="s">
        <v>104</v>
      </c>
      <c r="D53" t="s">
        <v>40</v>
      </c>
      <c r="G53" s="8">
        <v>-120</v>
      </c>
      <c r="H53" s="8">
        <v>425</v>
      </c>
      <c r="I53" s="6">
        <f t="shared" si="5"/>
        <v>0.54545454545454541</v>
      </c>
      <c r="J53" s="6">
        <f t="shared" si="6"/>
        <v>0.19047619047619047</v>
      </c>
      <c r="K53" s="7">
        <f t="shared" si="7"/>
        <v>0.73593073593073588</v>
      </c>
      <c r="L53" s="1">
        <f>VLOOKUP($D53,Countries!$B$6:$M$72,12,FALSE)</f>
        <v>5.2249999999999996</v>
      </c>
      <c r="M53" s="9">
        <f t="shared" si="8"/>
        <v>3.8452380952380949</v>
      </c>
    </row>
    <row r="54" spans="2:13" x14ac:dyDescent="0.2">
      <c r="B54">
        <f t="shared" si="4"/>
        <v>49</v>
      </c>
      <c r="C54" t="s">
        <v>105</v>
      </c>
      <c r="D54" t="s">
        <v>40</v>
      </c>
      <c r="G54" s="8">
        <v>-105</v>
      </c>
      <c r="H54" s="8">
        <v>475</v>
      </c>
      <c r="I54" s="6">
        <f t="shared" si="5"/>
        <v>0.51219512195121952</v>
      </c>
      <c r="J54" s="6">
        <f t="shared" si="6"/>
        <v>0.17391304347826086</v>
      </c>
      <c r="K54" s="7">
        <f t="shared" si="7"/>
        <v>0.68610816542948039</v>
      </c>
      <c r="L54" s="1">
        <f>VLOOKUP($D54,Countries!$B$6:$M$72,12,FALSE)</f>
        <v>5.2249999999999996</v>
      </c>
      <c r="M54" s="9">
        <f t="shared" si="8"/>
        <v>3.5849151643690349</v>
      </c>
    </row>
    <row r="55" spans="2:13" x14ac:dyDescent="0.2">
      <c r="B55">
        <f t="shared" si="4"/>
        <v>50</v>
      </c>
      <c r="C55" t="s">
        <v>106</v>
      </c>
      <c r="D55" t="s">
        <v>40</v>
      </c>
      <c r="G55" s="8">
        <v>130</v>
      </c>
      <c r="H55" s="8">
        <v>700</v>
      </c>
      <c r="I55" s="6">
        <f t="shared" si="5"/>
        <v>0.43478260869565216</v>
      </c>
      <c r="J55" s="6">
        <f t="shared" si="6"/>
        <v>0.125</v>
      </c>
      <c r="K55" s="7">
        <f t="shared" si="7"/>
        <v>0.55978260869565211</v>
      </c>
      <c r="L55" s="1">
        <f>VLOOKUP($D55,Countries!$B$6:$M$72,12,FALSE)</f>
        <v>5.2249999999999996</v>
      </c>
      <c r="M55" s="9">
        <f t="shared" si="8"/>
        <v>2.924864130434782</v>
      </c>
    </row>
    <row r="56" spans="2:13" x14ac:dyDescent="0.2">
      <c r="B56">
        <f t="shared" si="4"/>
        <v>51</v>
      </c>
      <c r="C56" t="s">
        <v>107</v>
      </c>
      <c r="D56" t="s">
        <v>40</v>
      </c>
      <c r="G56" s="8">
        <v>130</v>
      </c>
      <c r="H56" s="8">
        <v>700</v>
      </c>
      <c r="I56" s="6">
        <f t="shared" si="5"/>
        <v>0.43478260869565216</v>
      </c>
      <c r="J56" s="6">
        <f t="shared" si="6"/>
        <v>0.125</v>
      </c>
      <c r="K56" s="7">
        <f t="shared" si="7"/>
        <v>0.55978260869565211</v>
      </c>
      <c r="L56" s="1">
        <f>VLOOKUP($D56,Countries!$B$6:$M$72,12,FALSE)</f>
        <v>5.2249999999999996</v>
      </c>
      <c r="M56" s="9">
        <f t="shared" si="8"/>
        <v>2.924864130434782</v>
      </c>
    </row>
    <row r="57" spans="2:13" x14ac:dyDescent="0.2">
      <c r="B57">
        <f t="shared" si="4"/>
        <v>52</v>
      </c>
      <c r="C57" t="s">
        <v>108</v>
      </c>
      <c r="D57" t="s">
        <v>40</v>
      </c>
      <c r="G57" s="8">
        <v>140</v>
      </c>
      <c r="H57" s="8">
        <v>800</v>
      </c>
      <c r="I57" s="6">
        <f t="shared" si="5"/>
        <v>0.41666666666666669</v>
      </c>
      <c r="J57" s="6">
        <f t="shared" si="6"/>
        <v>0.1111111111111111</v>
      </c>
      <c r="K57" s="7">
        <f t="shared" si="7"/>
        <v>0.52777777777777779</v>
      </c>
      <c r="L57" s="1">
        <f>VLOOKUP($D57,Countries!$B$6:$M$72,12,FALSE)</f>
        <v>5.2249999999999996</v>
      </c>
      <c r="M57" s="9">
        <f t="shared" si="8"/>
        <v>2.7576388888888888</v>
      </c>
    </row>
    <row r="58" spans="2:13" x14ac:dyDescent="0.2">
      <c r="B58">
        <f t="shared" si="4"/>
        <v>53</v>
      </c>
      <c r="C58" t="s">
        <v>109</v>
      </c>
      <c r="D58" t="s">
        <v>40</v>
      </c>
      <c r="G58" s="8">
        <v>160</v>
      </c>
      <c r="H58" s="8">
        <v>950</v>
      </c>
      <c r="I58" s="6">
        <f t="shared" si="5"/>
        <v>0.38461538461538464</v>
      </c>
      <c r="J58" s="6">
        <f t="shared" si="6"/>
        <v>9.5238095238095233E-2</v>
      </c>
      <c r="K58" s="7">
        <f t="shared" si="7"/>
        <v>0.47985347985347987</v>
      </c>
      <c r="L58" s="1">
        <f>VLOOKUP($D58,Countries!$B$6:$M$72,12,FALSE)</f>
        <v>5.2249999999999996</v>
      </c>
      <c r="M58" s="9">
        <f t="shared" si="8"/>
        <v>2.5072344322344322</v>
      </c>
    </row>
    <row r="59" spans="2:13" x14ac:dyDescent="0.2">
      <c r="B59">
        <f t="shared" si="4"/>
        <v>54</v>
      </c>
      <c r="C59" t="s">
        <v>110</v>
      </c>
      <c r="D59" t="s">
        <v>40</v>
      </c>
      <c r="G59" s="8">
        <v>175</v>
      </c>
      <c r="H59" s="8">
        <v>1100</v>
      </c>
      <c r="I59" s="6">
        <f t="shared" si="5"/>
        <v>0.36363636363636365</v>
      </c>
      <c r="J59" s="6">
        <f t="shared" si="6"/>
        <v>8.3333333333333329E-2</v>
      </c>
      <c r="K59" s="7">
        <f t="shared" si="7"/>
        <v>0.44696969696969696</v>
      </c>
      <c r="L59" s="1">
        <f>VLOOKUP($D59,Countries!$B$6:$M$72,12,FALSE)</f>
        <v>5.2249999999999996</v>
      </c>
      <c r="M59" s="9">
        <f t="shared" si="8"/>
        <v>2.3354166666666663</v>
      </c>
    </row>
    <row r="60" spans="2:13" x14ac:dyDescent="0.2">
      <c r="B60">
        <f t="shared" si="4"/>
        <v>55</v>
      </c>
      <c r="C60" t="s">
        <v>111</v>
      </c>
      <c r="D60" t="s">
        <v>40</v>
      </c>
      <c r="G60" s="8">
        <v>210</v>
      </c>
      <c r="H60" s="8">
        <v>1400</v>
      </c>
      <c r="I60" s="6">
        <f t="shared" si="5"/>
        <v>0.32258064516129031</v>
      </c>
      <c r="J60" s="6">
        <f t="shared" si="6"/>
        <v>6.6666666666666666E-2</v>
      </c>
      <c r="K60" s="7">
        <f t="shared" si="7"/>
        <v>0.38924731182795697</v>
      </c>
      <c r="L60" s="1">
        <f>VLOOKUP($D60,Countries!$B$6:$M$72,12,FALSE)</f>
        <v>5.2249999999999996</v>
      </c>
      <c r="M60" s="9">
        <f t="shared" si="8"/>
        <v>2.0338172043010752</v>
      </c>
    </row>
    <row r="61" spans="2:13" x14ac:dyDescent="0.2">
      <c r="B61">
        <f t="shared" si="4"/>
        <v>56</v>
      </c>
      <c r="C61" t="s">
        <v>112</v>
      </c>
      <c r="D61" t="s">
        <v>12</v>
      </c>
      <c r="G61" s="8">
        <v>130</v>
      </c>
      <c r="H61" s="8">
        <v>700</v>
      </c>
      <c r="I61" s="6">
        <f t="shared" si="5"/>
        <v>0.43478260869565216</v>
      </c>
      <c r="J61" s="6">
        <f t="shared" si="6"/>
        <v>0.125</v>
      </c>
      <c r="K61" s="7">
        <f t="shared" si="7"/>
        <v>0.55978260869565211</v>
      </c>
      <c r="L61" s="1">
        <f>VLOOKUP($D61,Countries!$B$6:$M$72,12,FALSE)</f>
        <v>4.5288461538461533</v>
      </c>
      <c r="M61" s="9">
        <f t="shared" si="8"/>
        <v>2.5351693143812701</v>
      </c>
    </row>
    <row r="62" spans="2:13" x14ac:dyDescent="0.2">
      <c r="B62">
        <f t="shared" si="4"/>
        <v>57</v>
      </c>
      <c r="C62" t="s">
        <v>113</v>
      </c>
      <c r="D62" t="s">
        <v>12</v>
      </c>
      <c r="G62" s="8">
        <v>240</v>
      </c>
      <c r="H62" s="8">
        <v>1700</v>
      </c>
      <c r="I62" s="6">
        <f t="shared" si="5"/>
        <v>0.29411764705882354</v>
      </c>
      <c r="J62" s="6">
        <f t="shared" si="6"/>
        <v>5.5555555555555552E-2</v>
      </c>
      <c r="K62" s="7">
        <f t="shared" si="7"/>
        <v>0.34967320261437906</v>
      </c>
      <c r="L62" s="1">
        <f>VLOOKUP($D62,Countries!$B$6:$M$72,12,FALSE)</f>
        <v>4.5288461538461533</v>
      </c>
      <c r="M62" s="9">
        <f t="shared" si="8"/>
        <v>1.5836161387631973</v>
      </c>
    </row>
    <row r="63" spans="2:13" x14ac:dyDescent="0.2">
      <c r="B63">
        <f t="shared" si="4"/>
        <v>58</v>
      </c>
      <c r="C63" t="s">
        <v>114</v>
      </c>
      <c r="D63" t="s">
        <v>12</v>
      </c>
      <c r="G63" s="8">
        <v>245</v>
      </c>
      <c r="H63" s="8">
        <v>1700</v>
      </c>
      <c r="I63" s="6">
        <f t="shared" si="5"/>
        <v>0.28985507246376813</v>
      </c>
      <c r="J63" s="6">
        <f t="shared" si="6"/>
        <v>5.5555555555555552E-2</v>
      </c>
      <c r="K63" s="7">
        <f t="shared" si="7"/>
        <v>0.34541062801932365</v>
      </c>
      <c r="L63" s="1">
        <f>VLOOKUP($D63,Countries!$B$6:$M$72,12,FALSE)</f>
        <v>4.5288461538461533</v>
      </c>
      <c r="M63" s="9">
        <f t="shared" si="8"/>
        <v>1.5643115942028982</v>
      </c>
    </row>
    <row r="64" spans="2:13" x14ac:dyDescent="0.2">
      <c r="B64">
        <f t="shared" si="4"/>
        <v>59</v>
      </c>
      <c r="C64" t="s">
        <v>115</v>
      </c>
      <c r="D64" t="s">
        <v>9</v>
      </c>
      <c r="G64" s="8">
        <v>245</v>
      </c>
      <c r="H64" s="8">
        <v>1700</v>
      </c>
      <c r="I64" s="6">
        <f t="shared" si="5"/>
        <v>0.28985507246376813</v>
      </c>
      <c r="J64" s="6">
        <f t="shared" si="6"/>
        <v>5.5555555555555552E-2</v>
      </c>
      <c r="K64" s="7">
        <f t="shared" si="7"/>
        <v>0.34541062801932365</v>
      </c>
      <c r="L64" s="1">
        <f>VLOOKUP($D64,Countries!$B$6:$M$72,12,FALSE)</f>
        <v>3.4747474747474749</v>
      </c>
      <c r="M64" s="9">
        <f t="shared" si="8"/>
        <v>1.2002147074610843</v>
      </c>
    </row>
    <row r="65" spans="2:13" x14ac:dyDescent="0.2">
      <c r="B65">
        <f t="shared" si="4"/>
        <v>60</v>
      </c>
      <c r="C65" t="s">
        <v>116</v>
      </c>
      <c r="D65" t="s">
        <v>42</v>
      </c>
      <c r="G65" s="8">
        <v>135</v>
      </c>
      <c r="H65" s="8">
        <v>750</v>
      </c>
      <c r="I65" s="6">
        <f t="shared" si="5"/>
        <v>0.42553191489361702</v>
      </c>
      <c r="J65" s="6">
        <f t="shared" si="6"/>
        <v>0.11764705882352941</v>
      </c>
      <c r="K65" s="7">
        <f t="shared" si="7"/>
        <v>0.54317897371714641</v>
      </c>
      <c r="L65" s="1">
        <f>VLOOKUP($D65,Countries!$B$6:$M$72,12,FALSE)</f>
        <v>3.4952380952380953</v>
      </c>
      <c r="M65" s="9">
        <f t="shared" si="8"/>
        <v>1.8985398414685022</v>
      </c>
    </row>
    <row r="66" spans="2:13" x14ac:dyDescent="0.2">
      <c r="B66">
        <f t="shared" si="4"/>
        <v>61</v>
      </c>
      <c r="C66" t="s">
        <v>117</v>
      </c>
      <c r="D66" t="s">
        <v>42</v>
      </c>
      <c r="G66" s="8">
        <v>135</v>
      </c>
      <c r="H66" s="8">
        <v>750</v>
      </c>
      <c r="I66" s="6">
        <f t="shared" si="5"/>
        <v>0.42553191489361702</v>
      </c>
      <c r="J66" s="6">
        <f t="shared" si="6"/>
        <v>0.11764705882352941</v>
      </c>
      <c r="K66" s="7">
        <f t="shared" si="7"/>
        <v>0.54317897371714641</v>
      </c>
      <c r="L66" s="1">
        <f>VLOOKUP($D66,Countries!$B$6:$M$72,12,FALSE)</f>
        <v>3.4952380952380953</v>
      </c>
      <c r="M66" s="9">
        <f t="shared" si="8"/>
        <v>1.8985398414685022</v>
      </c>
    </row>
    <row r="67" spans="2:13" x14ac:dyDescent="0.2">
      <c r="B67">
        <f t="shared" si="4"/>
        <v>62</v>
      </c>
      <c r="C67" t="s">
        <v>118</v>
      </c>
      <c r="D67" t="s">
        <v>42</v>
      </c>
      <c r="G67" s="8">
        <v>140</v>
      </c>
      <c r="H67" s="8">
        <v>800</v>
      </c>
      <c r="I67" s="6">
        <f t="shared" si="5"/>
        <v>0.41666666666666669</v>
      </c>
      <c r="J67" s="6">
        <f t="shared" si="6"/>
        <v>0.1111111111111111</v>
      </c>
      <c r="K67" s="7">
        <f t="shared" si="7"/>
        <v>0.52777777777777779</v>
      </c>
      <c r="L67" s="1">
        <f>VLOOKUP($D67,Countries!$B$6:$M$72,12,FALSE)</f>
        <v>3.4952380952380953</v>
      </c>
      <c r="M67" s="9">
        <f t="shared" si="8"/>
        <v>1.8447089947089947</v>
      </c>
    </row>
    <row r="68" spans="2:13" x14ac:dyDescent="0.2">
      <c r="B68">
        <f t="shared" si="4"/>
        <v>63</v>
      </c>
      <c r="C68" t="s">
        <v>119</v>
      </c>
      <c r="D68" t="s">
        <v>42</v>
      </c>
      <c r="G68" s="8">
        <v>200</v>
      </c>
      <c r="H68" s="8">
        <v>1300</v>
      </c>
      <c r="I68" s="6">
        <f t="shared" si="5"/>
        <v>0.33333333333333331</v>
      </c>
      <c r="J68" s="6">
        <f t="shared" si="6"/>
        <v>7.1428571428571425E-2</v>
      </c>
      <c r="K68" s="7">
        <f t="shared" si="7"/>
        <v>0.40476190476190477</v>
      </c>
      <c r="L68" s="1">
        <f>VLOOKUP($D68,Countries!$B$6:$M$72,12,FALSE)</f>
        <v>3.4952380952380953</v>
      </c>
      <c r="M68" s="9">
        <f t="shared" si="8"/>
        <v>1.4147392290249434</v>
      </c>
    </row>
    <row r="69" spans="2:13" x14ac:dyDescent="0.2">
      <c r="B69">
        <f t="shared" si="4"/>
        <v>64</v>
      </c>
      <c r="C69" t="s">
        <v>120</v>
      </c>
      <c r="D69" t="s">
        <v>42</v>
      </c>
      <c r="G69" s="8">
        <v>205</v>
      </c>
      <c r="H69" s="8">
        <v>1300</v>
      </c>
      <c r="I69" s="6">
        <f t="shared" si="5"/>
        <v>0.32786885245901637</v>
      </c>
      <c r="J69" s="6">
        <f t="shared" si="6"/>
        <v>7.1428571428571425E-2</v>
      </c>
      <c r="K69" s="7">
        <f t="shared" si="7"/>
        <v>0.39929742388758782</v>
      </c>
      <c r="L69" s="1">
        <f>VLOOKUP($D69,Countries!$B$6:$M$72,12,FALSE)</f>
        <v>3.4952380952380953</v>
      </c>
      <c r="M69" s="9">
        <f t="shared" si="8"/>
        <v>1.3956395673023307</v>
      </c>
    </row>
    <row r="70" spans="2:13" x14ac:dyDescent="0.2">
      <c r="B70">
        <f t="shared" si="4"/>
        <v>65</v>
      </c>
      <c r="C70" t="s">
        <v>121</v>
      </c>
      <c r="D70" t="s">
        <v>42</v>
      </c>
      <c r="G70" s="8">
        <v>205</v>
      </c>
      <c r="H70" s="8">
        <v>1300</v>
      </c>
      <c r="I70" s="6">
        <f t="shared" si="5"/>
        <v>0.32786885245901637</v>
      </c>
      <c r="J70" s="6">
        <f t="shared" si="6"/>
        <v>7.1428571428571425E-2</v>
      </c>
      <c r="K70" s="7">
        <f t="shared" si="7"/>
        <v>0.39929742388758782</v>
      </c>
      <c r="L70" s="1">
        <f>VLOOKUP($D70,Countries!$B$6:$M$72,12,FALSE)</f>
        <v>3.4952380952380953</v>
      </c>
      <c r="M70" s="9">
        <f t="shared" si="8"/>
        <v>1.3956395673023307</v>
      </c>
    </row>
    <row r="71" spans="2:13" x14ac:dyDescent="0.2">
      <c r="B71">
        <f t="shared" si="4"/>
        <v>66</v>
      </c>
      <c r="C71" t="s">
        <v>122</v>
      </c>
      <c r="D71" t="s">
        <v>6</v>
      </c>
      <c r="G71" s="8">
        <v>-230</v>
      </c>
      <c r="H71" s="8">
        <v>195</v>
      </c>
      <c r="I71" s="6">
        <f t="shared" ref="I71:I77" si="9">IF(G71&gt;0,100/(G71+100),-G71/(100-G71))</f>
        <v>0.69696969696969702</v>
      </c>
      <c r="J71" s="6">
        <f t="shared" ref="J71:J77" si="10">IF(H71&gt;0,100/(H71+100),-H71/(100-H71))</f>
        <v>0.33898305084745761</v>
      </c>
      <c r="K71" s="7">
        <f t="shared" ref="K71:K77" si="11">I71+J71</f>
        <v>1.0359527478171546</v>
      </c>
      <c r="L71" s="1">
        <f>VLOOKUP($D71,Countries!$B$6:$M$72,12,FALSE)</f>
        <v>3.6871794871794874</v>
      </c>
      <c r="M71" s="9">
        <f t="shared" ref="M71:M77" si="12">L71*K71</f>
        <v>3.8197437214386372</v>
      </c>
    </row>
    <row r="72" spans="2:13" x14ac:dyDescent="0.2">
      <c r="B72">
        <f t="shared" ref="B72:B77" si="13">B71+1</f>
        <v>67</v>
      </c>
      <c r="C72" t="s">
        <v>123</v>
      </c>
      <c r="D72" t="s">
        <v>6</v>
      </c>
      <c r="G72" s="8">
        <v>135</v>
      </c>
      <c r="H72" s="8">
        <v>750</v>
      </c>
      <c r="I72" s="6">
        <f t="shared" si="9"/>
        <v>0.42553191489361702</v>
      </c>
      <c r="J72" s="6">
        <f t="shared" si="10"/>
        <v>0.11764705882352941</v>
      </c>
      <c r="K72" s="7">
        <f t="shared" si="11"/>
        <v>0.54317897371714641</v>
      </c>
      <c r="L72" s="1">
        <f>VLOOKUP($D72,Countries!$B$6:$M$72,12,FALSE)</f>
        <v>3.6871794871794874</v>
      </c>
      <c r="M72" s="9">
        <f t="shared" si="12"/>
        <v>2.0027983697570684</v>
      </c>
    </row>
    <row r="73" spans="2:13" x14ac:dyDescent="0.2">
      <c r="B73">
        <f t="shared" si="13"/>
        <v>68</v>
      </c>
      <c r="C73" t="s">
        <v>124</v>
      </c>
      <c r="D73" t="s">
        <v>6</v>
      </c>
      <c r="G73" s="8">
        <v>135</v>
      </c>
      <c r="H73" s="8">
        <v>750</v>
      </c>
      <c r="I73" s="6">
        <f t="shared" si="9"/>
        <v>0.42553191489361702</v>
      </c>
      <c r="J73" s="6">
        <f t="shared" si="10"/>
        <v>0.11764705882352941</v>
      </c>
      <c r="K73" s="7">
        <f t="shared" si="11"/>
        <v>0.54317897371714641</v>
      </c>
      <c r="L73" s="1">
        <f>VLOOKUP($D73,Countries!$B$6:$M$72,12,FALSE)</f>
        <v>3.6871794871794874</v>
      </c>
      <c r="M73" s="9">
        <f t="shared" si="12"/>
        <v>2.0027983697570684</v>
      </c>
    </row>
    <row r="74" spans="2:13" x14ac:dyDescent="0.2">
      <c r="B74">
        <f t="shared" si="13"/>
        <v>69</v>
      </c>
      <c r="C74" t="s">
        <v>125</v>
      </c>
      <c r="D74" t="s">
        <v>0</v>
      </c>
      <c r="G74" s="8">
        <v>100</v>
      </c>
      <c r="H74" s="8">
        <v>500</v>
      </c>
      <c r="I74" s="6">
        <f t="shared" si="9"/>
        <v>0.5</v>
      </c>
      <c r="J74" s="6">
        <f t="shared" si="10"/>
        <v>0.16666666666666666</v>
      </c>
      <c r="K74" s="7">
        <f t="shared" si="11"/>
        <v>0.66666666666666663</v>
      </c>
      <c r="L74" s="1">
        <f>VLOOKUP($D74,Countries!$B$6:$M$72,12,FALSE)</f>
        <v>4.833007175472928</v>
      </c>
      <c r="M74" s="9">
        <f t="shared" si="12"/>
        <v>3.2220047836486185</v>
      </c>
    </row>
    <row r="75" spans="2:13" x14ac:dyDescent="0.2">
      <c r="B75">
        <f t="shared" si="13"/>
        <v>70</v>
      </c>
      <c r="C75" t="s">
        <v>126</v>
      </c>
      <c r="D75" t="s">
        <v>0</v>
      </c>
      <c r="G75" s="8">
        <v>150</v>
      </c>
      <c r="H75" s="8">
        <v>900</v>
      </c>
      <c r="I75" s="6">
        <f t="shared" si="9"/>
        <v>0.4</v>
      </c>
      <c r="J75" s="6">
        <f t="shared" si="10"/>
        <v>0.1</v>
      </c>
      <c r="K75" s="7">
        <f t="shared" si="11"/>
        <v>0.5</v>
      </c>
      <c r="L75" s="1">
        <f>VLOOKUP($D75,Countries!$B$6:$M$72,12,FALSE)</f>
        <v>4.833007175472928</v>
      </c>
      <c r="M75" s="9">
        <f t="shared" si="12"/>
        <v>2.416503587736464</v>
      </c>
    </row>
    <row r="76" spans="2:13" x14ac:dyDescent="0.2">
      <c r="B76">
        <f t="shared" si="13"/>
        <v>71</v>
      </c>
      <c r="C76" t="s">
        <v>127</v>
      </c>
      <c r="D76" t="s">
        <v>0</v>
      </c>
      <c r="G76" s="8">
        <v>150</v>
      </c>
      <c r="H76" s="8">
        <v>900</v>
      </c>
      <c r="I76" s="6">
        <f t="shared" si="9"/>
        <v>0.4</v>
      </c>
      <c r="J76" s="6">
        <f t="shared" si="10"/>
        <v>0.1</v>
      </c>
      <c r="K76" s="7">
        <f t="shared" si="11"/>
        <v>0.5</v>
      </c>
      <c r="L76" s="1">
        <f>VLOOKUP($D76,Countries!$B$6:$M$72,12,FALSE)</f>
        <v>4.833007175472928</v>
      </c>
      <c r="M76" s="9">
        <f t="shared" si="12"/>
        <v>2.416503587736464</v>
      </c>
    </row>
    <row r="77" spans="2:13" x14ac:dyDescent="0.2">
      <c r="B77">
        <f t="shared" si="13"/>
        <v>72</v>
      </c>
      <c r="C77" t="s">
        <v>128</v>
      </c>
      <c r="D77" t="s">
        <v>0</v>
      </c>
      <c r="G77" s="8">
        <v>180</v>
      </c>
      <c r="H77" s="8">
        <v>1100</v>
      </c>
      <c r="I77" s="6">
        <f t="shared" si="9"/>
        <v>0.35714285714285715</v>
      </c>
      <c r="J77" s="6">
        <f t="shared" si="10"/>
        <v>8.3333333333333329E-2</v>
      </c>
      <c r="K77" s="7">
        <f t="shared" si="11"/>
        <v>0.44047619047619047</v>
      </c>
      <c r="L77" s="1">
        <f>VLOOKUP($D77,Countries!$B$6:$M$72,12,FALSE)</f>
        <v>4.833007175472928</v>
      </c>
      <c r="M77" s="9">
        <f t="shared" si="12"/>
        <v>2.1288245891964088</v>
      </c>
    </row>
    <row r="78" spans="2:13" x14ac:dyDescent="0.2">
      <c r="C78" t="s">
        <v>129</v>
      </c>
      <c r="D78" t="s">
        <v>36</v>
      </c>
      <c r="G78" s="8">
        <v>130</v>
      </c>
      <c r="H78" s="8">
        <v>700</v>
      </c>
      <c r="I78" s="6">
        <f t="shared" ref="I78:J81" si="14">IF(G78&gt;0,100/(G78+100),-G78/(100-G78))</f>
        <v>0.43478260869565216</v>
      </c>
      <c r="J78" s="6">
        <f t="shared" si="14"/>
        <v>0.125</v>
      </c>
      <c r="K78" s="7">
        <f>I78+J78</f>
        <v>0.55978260869565211</v>
      </c>
      <c r="L78" s="1">
        <f>VLOOKUP($D78,Countries!$B$6:$M$72,12,FALSE)</f>
        <v>4.9736842105263159</v>
      </c>
      <c r="M78" s="9">
        <f>L78*K78</f>
        <v>2.7841819221967961</v>
      </c>
    </row>
    <row r="79" spans="2:13" x14ac:dyDescent="0.2">
      <c r="C79" t="s">
        <v>130</v>
      </c>
      <c r="D79" t="s">
        <v>36</v>
      </c>
      <c r="G79" s="8">
        <v>175</v>
      </c>
      <c r="H79" s="8">
        <v>1000</v>
      </c>
      <c r="I79" s="6">
        <f t="shared" si="14"/>
        <v>0.36363636363636365</v>
      </c>
      <c r="J79" s="6">
        <f t="shared" si="14"/>
        <v>9.0909090909090912E-2</v>
      </c>
      <c r="K79" s="7">
        <f>I79+J79</f>
        <v>0.45454545454545459</v>
      </c>
      <c r="L79" s="1">
        <f>VLOOKUP($D79,Countries!$B$6:$M$72,12,FALSE)</f>
        <v>4.9736842105263159</v>
      </c>
      <c r="M79" s="9">
        <f>L79*K79</f>
        <v>2.2607655502392348</v>
      </c>
    </row>
    <row r="80" spans="2:13" x14ac:dyDescent="0.2">
      <c r="C80" t="s">
        <v>131</v>
      </c>
      <c r="D80" t="s">
        <v>36</v>
      </c>
      <c r="G80" s="8">
        <v>175</v>
      </c>
      <c r="H80" s="8">
        <v>1000</v>
      </c>
      <c r="I80" s="6">
        <f t="shared" si="14"/>
        <v>0.36363636363636365</v>
      </c>
      <c r="J80" s="6">
        <f t="shared" si="14"/>
        <v>9.0909090909090912E-2</v>
      </c>
      <c r="K80" s="7">
        <f>I80+J80</f>
        <v>0.45454545454545459</v>
      </c>
      <c r="L80" s="1">
        <f>VLOOKUP($D80,Countries!$B$6:$M$72,12,FALSE)</f>
        <v>4.9736842105263159</v>
      </c>
      <c r="M80" s="9">
        <f>L80*K80</f>
        <v>2.2607655502392348</v>
      </c>
    </row>
    <row r="81" spans="3:13" x14ac:dyDescent="0.2">
      <c r="C81" t="s">
        <v>132</v>
      </c>
      <c r="D81" t="s">
        <v>36</v>
      </c>
      <c r="G81" s="8">
        <v>295</v>
      </c>
      <c r="H81" s="8">
        <v>2200</v>
      </c>
      <c r="I81" s="6">
        <f t="shared" si="14"/>
        <v>0.25316455696202533</v>
      </c>
      <c r="J81" s="6">
        <f t="shared" si="14"/>
        <v>4.3478260869565216E-2</v>
      </c>
      <c r="K81" s="7">
        <f>I81+J81</f>
        <v>0.29664281783159052</v>
      </c>
      <c r="L81" s="1">
        <f>VLOOKUP($D81,Countries!$B$6:$M$72,12,FALSE)</f>
        <v>4.9736842105263159</v>
      </c>
      <c r="M81" s="9">
        <f>L81*K81</f>
        <v>1.475407699215016</v>
      </c>
    </row>
    <row r="82" spans="3:13" x14ac:dyDescent="0.2">
      <c r="C82" t="s">
        <v>133</v>
      </c>
      <c r="D82" t="s">
        <v>36</v>
      </c>
      <c r="G82" s="8"/>
      <c r="H82" s="8"/>
      <c r="I82" s="6"/>
      <c r="J82" s="6"/>
      <c r="K82" s="7"/>
      <c r="L82" s="1"/>
      <c r="M82" s="9"/>
    </row>
    <row r="83" spans="3:13" x14ac:dyDescent="0.2">
      <c r="C83" t="s">
        <v>134</v>
      </c>
      <c r="D83" t="s">
        <v>36</v>
      </c>
      <c r="G83" s="8"/>
      <c r="H83" s="8"/>
      <c r="I83" s="6"/>
      <c r="J83" s="6"/>
      <c r="K83" s="7"/>
      <c r="L83" s="1"/>
      <c r="M83" s="9"/>
    </row>
    <row r="84" spans="3:13" x14ac:dyDescent="0.2">
      <c r="C84" t="s">
        <v>135</v>
      </c>
      <c r="D84" t="s">
        <v>36</v>
      </c>
      <c r="G84" s="8"/>
      <c r="H84" s="8"/>
      <c r="I84" s="6"/>
      <c r="J84" s="6"/>
      <c r="K84" s="7"/>
      <c r="L84" s="1"/>
      <c r="M84" s="9"/>
    </row>
    <row r="85" spans="3:13" x14ac:dyDescent="0.2">
      <c r="C85" t="s">
        <v>136</v>
      </c>
      <c r="D85" t="s">
        <v>36</v>
      </c>
      <c r="G85" s="8"/>
      <c r="H85" s="8"/>
      <c r="I85" s="6"/>
      <c r="J85" s="6"/>
      <c r="K85" s="7"/>
      <c r="L85" s="1"/>
      <c r="M85" s="9"/>
    </row>
    <row r="86" spans="3:13" x14ac:dyDescent="0.2">
      <c r="C86" t="s">
        <v>137</v>
      </c>
      <c r="D86" t="s">
        <v>36</v>
      </c>
      <c r="G86" s="8"/>
      <c r="H86" s="8"/>
      <c r="I86" s="6"/>
      <c r="J86" s="6"/>
      <c r="K86" s="7"/>
      <c r="L86" s="1"/>
      <c r="M86" s="9"/>
    </row>
    <row r="87" spans="3:13" x14ac:dyDescent="0.2">
      <c r="C87" t="s">
        <v>138</v>
      </c>
      <c r="D87" t="s">
        <v>38</v>
      </c>
      <c r="G87" s="8"/>
      <c r="H87" s="8"/>
      <c r="I87" s="6"/>
      <c r="J87" s="6"/>
      <c r="K87" s="7"/>
      <c r="L87" s="1"/>
      <c r="M87" s="9"/>
    </row>
    <row r="88" spans="3:13" x14ac:dyDescent="0.2">
      <c r="C88" t="s">
        <v>139</v>
      </c>
      <c r="D88" t="s">
        <v>37</v>
      </c>
      <c r="G88" s="8"/>
      <c r="H88" s="8"/>
      <c r="I88" s="6"/>
      <c r="J88" s="6"/>
      <c r="K88" s="7"/>
      <c r="L88" s="1"/>
      <c r="M88" s="9"/>
    </row>
    <row r="89" spans="3:13" x14ac:dyDescent="0.2">
      <c r="G89" s="8"/>
      <c r="H89" s="8"/>
      <c r="I89" s="6"/>
      <c r="J89" s="6"/>
      <c r="K89" s="7"/>
      <c r="L89" s="1"/>
      <c r="M89" s="9"/>
    </row>
    <row r="90" spans="3:13" x14ac:dyDescent="0.2">
      <c r="G90" s="8"/>
      <c r="H90" s="8"/>
      <c r="I90" s="6"/>
      <c r="J90" s="6"/>
      <c r="K90" s="7"/>
      <c r="L90" s="1"/>
      <c r="M90" s="9"/>
    </row>
    <row r="91" spans="3:13" x14ac:dyDescent="0.2">
      <c r="G91" s="8"/>
      <c r="H91" s="8"/>
      <c r="I91" s="6"/>
      <c r="J91" s="6"/>
      <c r="K91" s="7"/>
      <c r="L91" s="1"/>
      <c r="M91" s="9"/>
    </row>
    <row r="92" spans="3:13" x14ac:dyDescent="0.2">
      <c r="G92" s="8"/>
      <c r="H92" s="8"/>
      <c r="I92" s="6"/>
      <c r="J92" s="6"/>
      <c r="K92" s="7"/>
      <c r="L92" s="1"/>
      <c r="M92" s="9"/>
    </row>
    <row r="93" spans="3:13" x14ac:dyDescent="0.2">
      <c r="G93" s="8"/>
      <c r="H93" s="8"/>
      <c r="I93" s="6"/>
      <c r="J93" s="6"/>
      <c r="K93" s="7"/>
      <c r="L93" s="1"/>
      <c r="M93" s="9"/>
    </row>
    <row r="94" spans="3:13" x14ac:dyDescent="0.2">
      <c r="G94" s="8"/>
      <c r="H94" s="8"/>
      <c r="I94" s="6"/>
      <c r="J94" s="6"/>
      <c r="K94" s="7"/>
      <c r="L94" s="1"/>
      <c r="M94" s="9"/>
    </row>
    <row r="95" spans="3:13" x14ac:dyDescent="0.2">
      <c r="G95" s="8"/>
      <c r="H95" s="8"/>
      <c r="I95" s="6"/>
      <c r="J95" s="6"/>
      <c r="K95" s="7"/>
      <c r="L95" s="1"/>
      <c r="M95" s="9"/>
    </row>
    <row r="96" spans="3:13" x14ac:dyDescent="0.2">
      <c r="G96" s="8"/>
      <c r="H96" s="8"/>
      <c r="I96" s="6"/>
      <c r="J96" s="6"/>
      <c r="K96" s="7"/>
      <c r="L96" s="1"/>
      <c r="M9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Scorers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Salzman</dc:creator>
  <cp:lastModifiedBy>Glenn Salzman</cp:lastModifiedBy>
  <dcterms:created xsi:type="dcterms:W3CDTF">2026-06-02T00:22:05Z</dcterms:created>
  <dcterms:modified xsi:type="dcterms:W3CDTF">2026-06-02T23:58:27Z</dcterms:modified>
</cp:coreProperties>
</file>